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8a94f187b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2649db851334532"/>
    <x:sheet xmlns:r="http://schemas.openxmlformats.org/officeDocument/2006/relationships" name="Whole Region" sheetId="2" r:id="R5fb519491adf4b80"/>
    <x:sheet xmlns:r="http://schemas.openxmlformats.org/officeDocument/2006/relationships" name="Participating Areas" sheetId="3" r:id="R59bd8d88e76b4731"/>
    <x:sheet xmlns:r="http://schemas.openxmlformats.org/officeDocument/2006/relationships" name="Linear Comparison" sheetId="4" r:id="Re395c1cb53014cc1"/>
    <x:sheet xmlns:r="http://schemas.openxmlformats.org/officeDocument/2006/relationships" name="Definitions" sheetId="5" r:id="R71ee88e9048a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#,##0.000"/>
    <x:numFmt numFmtId="202" formatCode="0.00%"/>
    <x:numFmt numFmtId="203" formatCode="0.00"/>
    <x:numFmt numFmtId="204" formatCode="0"/>
    <x:numFmt numFmtId="205" formatCode="#,##0.00"/>
    <x:numFmt numFmtId="206" formatCode="0.000%"/>
    <x:numFmt numFmtId="207" formatCode="0.000"/>
    <x:numFmt numFmtId="208" formatCode="#,##0"/>
  </x:numFmts>
  <x:fonts count="7">
    <x:font>
      <x:sz val="11"/>
      <x:name val="Carlito"/>
    </x:font>
    <x:font>
      <x:b/>
      <x:sz val="16"/>
      <x:color rgb="FF23445C"/>
      <x:name val="Arial"/>
    </x:font>
    <x:font>
      <x:i/>
      <x:sz val="10"/>
      <x:color rgb="FF5E6B73"/>
      <x:name val="Arial"/>
    </x:font>
    <x:font>
      <x:b/>
      <x:sz val="11"/>
      <x:color rgb="FF23445C"/>
      <x:name val="Arial"/>
    </x:font>
    <x:font>
      <x:sz val="10"/>
      <x:name val="Arial"/>
    </x:font>
    <x:font>
      <x:b/>
      <x:sz val="10"/>
      <x:color rgb="FF23445C"/>
      <x:name val="Arial"/>
    </x:font>
    <x:font>
      <x:sz val="10"/>
      <x:color rgb="FF5E6B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6F0E3"/>
      </x:patternFill>
    </x:fill>
  </x:fills>
  <x:borders count="10">
    <x:border/>
    <x:border>
      <x:bottom style="thin">
        <x:color rgb="FF9FB2BE"/>
      </x:bottom>
    </x:border>
    <x:border>
      <x:left style="thin">
        <x:color rgb="FFD7C9A8"/>
      </x:left>
      <x:top style="thin">
        <x:color rgb="FFD7C9A8"/>
      </x:top>
    </x:border>
    <x:border>
      <x:top style="thin">
        <x:color rgb="FFD7C9A8"/>
      </x:top>
    </x:border>
    <x:border>
      <x:right style="thin">
        <x:color rgb="FFD7C9A8"/>
      </x:right>
      <x:top style="thin">
        <x:color rgb="FFD7C9A8"/>
      </x:top>
    </x:border>
    <x:border>
      <x:left style="thin">
        <x:color rgb="FFD7C9A8"/>
      </x:left>
    </x:border>
    <x:border>
      <x:right style="thin">
        <x:color rgb="FFD7C9A8"/>
      </x:right>
    </x:border>
    <x:border>
      <x:left style="thin">
        <x:color rgb="FFD7C9A8"/>
      </x:left>
      <x:bottom style="thin">
        <x:color rgb="FFD7C9A8"/>
      </x:bottom>
    </x:border>
    <x:border>
      <x:bottom style="thin">
        <x:color rgb="FFD7C9A8"/>
      </x:bottom>
    </x:border>
    <x:border>
      <x:right style="thin">
        <x:color rgb="FFD7C9A8"/>
      </x:right>
      <x:bottom style="thin">
        <x:color rgb="FFD7C9A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vertical="center" wrapText="1"/>
    </x:xf>
    <x:xf numFmtId="0" fontId="6" fillId="2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5a4f3bdbf4838" /><Relationship Type="http://schemas.openxmlformats.org/officeDocument/2006/relationships/theme" Target="/xl/theme/theme1.xml" Id="Rc1bfc841d6644970" /><Relationship Type="http://schemas.openxmlformats.org/officeDocument/2006/relationships/sharedStrings" Target="/xl/sharedStrings.xml" Id="R5149ae630a2545ef" /><Relationship Type="http://schemas.openxmlformats.org/officeDocument/2006/relationships/worksheet" Target="/xl/worksheets/sheet1.xml" Id="R62649db851334532" /><Relationship Type="http://schemas.openxmlformats.org/officeDocument/2006/relationships/worksheet" Target="/xl/worksheets/sheet2.xml" Id="R5fb519491adf4b80" /><Relationship Type="http://schemas.openxmlformats.org/officeDocument/2006/relationships/worksheet" Target="/xl/worksheets/sheet3.xml" Id="R59bd8d88e76b4731" /><Relationship Type="http://schemas.openxmlformats.org/officeDocument/2006/relationships/worksheet" Target="/xl/worksheets/sheet4.xml" Id="Re395c1cb53014cc1" /><Relationship Type="http://schemas.openxmlformats.org/officeDocument/2006/relationships/worksheet" Target="/xl/worksheets/sheet5.xml" Id="R71ee88e9048a44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7cf0e3adb247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P90 share with 2+ reversals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Production (%)</c:v>
          </c:tx>
          <c:marker>
            <c:symbol val="none"/>
          </c:marker>
          <c:cat>
            <c:strRef>
              <c:f>'Overview'!$A$23:$A$30</c:f>
              <c:strCache>
                <c:ptCount val="0"/>
              </c:strCache>
            </c:strRef>
          </c:cat>
          <c:val>
            <c:numRef>
              <c:f>'Overview'!$B$23:$B$30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Rice-reference (%)</c:v>
          </c:tx>
          <c:marker>
            <c:symbol val="none"/>
          </c:marker>
          <c:cat>
            <c:strRef>
              <c:f>'Overview'!$A$23:$A$30</c:f>
              <c:strCache>
                <c:ptCount val="0"/>
              </c:strCache>
            </c:strRef>
          </c:cat>
          <c:val>
            <c:numRef>
              <c:f>'Overview'!$C$23:$C$30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Lovell WI (%)</c:v>
          </c:tx>
          <c:marker>
            <c:symbol val="none"/>
          </c:marker>
          <c:cat>
            <c:strRef>
              <c:f>'Overview'!$A$23:$A$30</c:f>
              <c:strCache>
                <c:ptCount val="0"/>
              </c:strCache>
            </c:strRef>
          </c:cat>
          <c:val>
            <c:numRef>
              <c:f>'Overview'!$D$23:$D$30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 of eligible pixels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7cf0e3adb247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ferenceTable" displayName="ReferenceTable" ref="A7:G10" headerRowCount="1" totalsRowCount="0" totalsRowShown="0">
  <x:autoFilter ref="A7:G10"/>
  <x:tableColumns count="7">
    <x:tableColumn id="1" name="Version"/>
    <x:tableColumn id="2" name="Reference population"/>
    <x:tableColumn id="3" name="Low β⁰ (dB)"/>
    <x:tableColumn id="4" name="High β⁰ (dB)"/>
    <x:tableColumn id="5" name="P80"/>
    <x:tableColumn id="6" name="P90"/>
    <x:tableColumn id="7" name="Eligibility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adlineTable" displayName="HeadlineTable" ref="A14:C19" headerRowCount="1" totalsRowCount="0" totalsRowShown="0">
  <x:autoFilter ref="A14:C19"/>
  <x:tableColumns count="3">
    <x:tableColumn id="1" name="Statistic"/>
    <x:tableColumn id="2" name="Value"/>
    <x:tableColumn id="3" name="Unit / r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90OverviewTable" displayName="P90OverviewTable" ref="A22:D30" headerRowCount="1" totalsRowCount="0" totalsRowShown="0">
  <x:autoFilter ref="A22:D30"/>
  <x:tableColumns count="4">
    <x:tableColumn id="1" name="Window"/>
    <x:tableColumn id="2" name="Production (%)"/>
    <x:tableColumn id="3" name="Rice-reference (%)"/>
    <x:tableColumn id="4" name="Lovell WI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holeRegionTable" displayName="WholeRegionTable" ref="A6:V70" headerRowCount="1" totalsRowCount="0" totalsRowShown="0">
  <x:autoFilter ref="A6:V70"/>
  <x:tableColumns count="22">
    <x:tableColumn id="1" name="Version"/>
    <x:tableColumn id="2" name="Spatial scope"/>
    <x:tableColumn id="3" name="Threshold"/>
    <x:tableColumn id="4" name="Window"/>
    <x:tableColumn id="5" name="Season"/>
    <x:tableColumn id="6" name="Threshold value"/>
    <x:tableColumn id="7" name="Start"/>
    <x:tableColumn id="8" name="End exclusive"/>
    <x:tableColumn id="9" name="Pairs"/>
    <x:tableColumn id="10" name="Domain area (ha)"/>
    <x:tableColumn id="11" name="Eligible area (ha)"/>
    <x:tableColumn id="12" name="Insufficient (% domain)"/>
    <x:tableColumn id="13" name="0 reversals (%)"/>
    <x:tableColumn id="14" name="1 reversal (%)"/>
    <x:tableColumn id="15" name="2 reversals (%)"/>
    <x:tableColumn id="16" name="3+ reversals (%)"/>
    <x:tableColumn id="17" name="2+ reversals (%)"/>
    <x:tableColumn id="18" name="Mean reversals"/>
    <x:tableColumn id="19" name="Mean significant changes"/>
    <x:tableColumn id="20" name="Positive / wetward-like changes"/>
    <x:tableColumn id="21" name="Negative / dryward-like changes"/>
    <x:tableColumn id="22" name="Eligibility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ticipatingTable" displayName="ParticipatingTable" ref="A6:V102" headerRowCount="1" totalsRowCount="0" totalsRowShown="0">
  <x:autoFilter ref="A6:V102"/>
  <x:tableColumns count="22">
    <x:tableColumn id="1" name="Version"/>
    <x:tableColumn id="2" name="Spatial scope"/>
    <x:tableColumn id="3" name="Threshold"/>
    <x:tableColumn id="4" name="Window"/>
    <x:tableColumn id="5" name="Season"/>
    <x:tableColumn id="6" name="Threshold value"/>
    <x:tableColumn id="7" name="Start"/>
    <x:tableColumn id="8" name="End exclusive"/>
    <x:tableColumn id="9" name="Pairs"/>
    <x:tableColumn id="10" name="Domain area (ha)"/>
    <x:tableColumn id="11" name="Eligible area (ha)"/>
    <x:tableColumn id="12" name="Insufficient (% domain)"/>
    <x:tableColumn id="13" name="0 reversals (%)"/>
    <x:tableColumn id="14" name="1 reversal (%)"/>
    <x:tableColumn id="15" name="2 reversals (%)"/>
    <x:tableColumn id="16" name="3+ reversals (%)"/>
    <x:tableColumn id="17" name="2+ reversals (%)"/>
    <x:tableColumn id="18" name="Mean reversals"/>
    <x:tableColumn id="19" name="Mean significant changes"/>
    <x:tableColumn id="20" name="Positive / wetward-like changes"/>
    <x:tableColumn id="21" name="Negative / dryward-like changes"/>
    <x:tableColumn id="22" name="Eligibility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nearComparisonTable" displayName="LinearComparisonTable" ref="A6:I54" headerRowCount="1" totalsRowCount="0" totalsRowShown="0">
  <x:autoFilter ref="A6:I54"/>
  <x:tableColumns count="9">
    <x:tableColumn id="1" name="Spatial scope"/>
    <x:tableColumn id="2" name="Threshold"/>
    <x:tableColumn id="3" name="Window"/>
    <x:tableColumn id="4" name="Production 2+ (%)"/>
    <x:tableColumn id="5" name="Rice-reference 2+ (%)"/>
    <x:tableColumn id="6" name="Difference (pp)"/>
    <x:tableColumn id="7" name="Production mean reversals"/>
    <x:tableColumn id="8" name="Rice-reference mean reversals"/>
    <x:tableColumn id="9" name="Differe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efinitionsTable" displayName="DefinitionsTable" ref="A6:B16" headerRowCount="1" totalsRowCount="0" totalsRowShown="0">
  <x:autoFilter ref="A6:B16"/>
  <x:tableColumns count="2">
    <x:tableColumn id="1" name="Term"/>
    <x:tableColumn id="2" name="Defin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19:B23" headerRowCount="1" totalsRowCount="0" totalsRowShown="0">
  <x:autoFilter ref="A19:B23"/>
  <x:tableColumns count="2">
    <x:tableColumn id="1" name="Source branch"/>
    <x:tableColumn id="2" name="Output identif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81adc990234bdf" /><Relationship Type="http://schemas.openxmlformats.org/officeDocument/2006/relationships/table" Target="/xl/tables/table1.xml" Id="R78a1148cc22b4525" /><Relationship Type="http://schemas.openxmlformats.org/officeDocument/2006/relationships/table" Target="/xl/tables/table2.xml" Id="Rd785b47354364efb" /><Relationship Type="http://schemas.openxmlformats.org/officeDocument/2006/relationships/table" Target="/xl/tables/table3.xml" Id="R66bf8b57e6d547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fdd4d981462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fb50399b208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2507d8965f6e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22d339676ac6488e" /><Relationship Type="http://schemas.openxmlformats.org/officeDocument/2006/relationships/table" Target="/xl/tables/table8.xml" Id="Re301d0a8201542ed" /></Relationships>
</file>

<file path=xl/worksheets/sheet1.xml><?xml version="1.0" encoding="utf-8"?>
<x:worksheet xmlns:x="http://schemas.openxmlformats.org/spreadsheetml/2006/main">
  <x:sheetPr>
    <x:tabColor rgb="FF23445C"/>
  </x:sheetPr>
  <x:sheetViews>
    <x:sheetView showGridLines="0" workbookViewId="0"/>
  </x:sheetViews>
  <x:sheetFormatPr defaultRowHeight="15"/>
  <x:cols>
    <x:col min="1" max="1" width="54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6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47"/>
      <x:c r="P1" s="47"/>
      <x:c r="Q1" s="47"/>
      <x:c r="R1" s="47"/>
    </x:row>
    <x:row r="2">
      <x:c r="A2" s="48" t="str">
        <x:v>All-version spatial statistics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47"/>
      <x:c r="P2" s="47"/>
      <x:c r="Q2" s="47"/>
      <x:c r="R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50"/>
      <x:c r="P3" s="50"/>
      <x:c r="Q3" s="50"/>
      <x:c r="R3" s="50"/>
    </x:row>
    <x:row r="4">
      <x:c r="A4" s="51" t="str">
        <x:v>Isabela SAR baseline · 2023–2025 · area-based comparison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47"/>
      <x:c r="P4" s="47"/>
      <x:c r="Q4" s="47"/>
      <x:c r="R4" s="47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47"/>
      <x:c r="P5" s="47"/>
      <x:c r="Q5" s="47"/>
      <x:c r="R5" s="47"/>
    </x:row>
    <x:row r="6">
      <x:c r="A6" s="52" t="str">
        <x:v>Reference and threshold configurations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47"/>
      <x:c r="P6" s="47"/>
      <x:c r="Q6" s="47"/>
      <x:c r="R6" s="47"/>
    </x:row>
    <x:row r="7">
      <x:c r="A7" s="6" t="str">
        <x:v>Version</x:v>
      </x:c>
      <x:c r="B7" s="6" t="str">
        <x:v>Reference population</x:v>
      </x:c>
      <x:c r="C7" s="6" t="str">
        <x:v>Low β⁰ (dB)</x:v>
      </x:c>
      <x:c r="D7" s="6" t="str">
        <x:v>High β⁰ (dB)</x:v>
      </x:c>
      <x:c r="E7" s="6" t="str">
        <x:v>P80</x:v>
      </x:c>
      <x:c r="F7" s="6" t="str">
        <x:v>P90</x:v>
      </x:c>
      <x:c r="G7" s="6" t="str">
        <x:v>Eligibility</x:v>
      </x:c>
      <x:c r="H7" s="6"/>
      <x:c r="I7" s="6"/>
      <x:c r="J7" s="6"/>
      <x:c r="K7" s="6"/>
      <x:c r="L7" s="6"/>
      <x:c r="M7" s="6"/>
      <x:c r="N7" s="6"/>
      <x:c r="O7" s="47"/>
      <x:c r="P7" s="47"/>
      <x:c r="Q7" s="47"/>
      <x:c r="R7" s="47"/>
    </x:row>
    <x:row r="8">
      <x:c r="A8" s="6" t="str">
        <x:v>Production relative index</x:v>
      </x:c>
      <x:c r="B8" s="6" t="str">
        <x:v>Fixed-support Cropland pooled raw min/max</x:v>
      </x:c>
      <x:c r="C8" s="7" t="n">
        <x:v>-44.82646179199219</x:v>
      </x:c>
      <x:c r="D8" s="7" t="n">
        <x:v>27.992761611938477</x:v>
      </x:c>
      <x:c r="E8" s="7" t="n">
        <x:v>0.0443</x:v>
      </x:c>
      <x:c r="F8" s="7" t="n">
        <x:v>0.0588</x:v>
      </x:c>
      <x:c r="G8" s="6" t="str">
        <x:v>All fixed-support Cropland</x:v>
      </x:c>
      <x:c r="H8" s="6"/>
      <x:c r="I8" s="6"/>
      <x:c r="J8" s="6"/>
      <x:c r="K8" s="6"/>
      <x:c r="L8" s="6"/>
      <x:c r="M8" s="6"/>
      <x:c r="N8" s="6"/>
      <x:c r="O8" s="47"/>
      <x:c r="P8" s="47"/>
      <x:c r="Q8" s="47"/>
      <x:c r="R8" s="47"/>
    </x:row>
    <x:row r="9">
      <x:c r="A9" s="6" t="str">
        <x:v>Rice-reference relative index</x:v>
      </x:c>
      <x:c r="B9" s="6" t="str">
        <x:v>Historical potential rice ∩ Cropland pooled raw min/max</x:v>
      </x:c>
      <x:c r="C9" s="7" t="n">
        <x:v>-44.82646179199219</x:v>
      </x:c>
      <x:c r="D9" s="7" t="n">
        <x:v>24.131746292114258</x:v>
      </x:c>
      <x:c r="E9" s="7" t="n">
        <x:v>0.0468</x:v>
      </x:c>
      <x:c r="F9" s="7" t="n">
        <x:v>0.0621</x:v>
      </x:c>
      <x:c r="G9" s="6" t="str">
        <x:v>All fixed-support Cropland</x:v>
      </x:c>
      <x:c r="H9" s="6"/>
      <x:c r="I9" s="6"/>
      <x:c r="J9" s="6"/>
      <x:c r="K9" s="6"/>
      <x:c r="L9" s="6"/>
      <x:c r="M9" s="6"/>
      <x:c r="N9" s="6"/>
      <x:c r="O9" s="47"/>
      <x:c r="P9" s="47"/>
      <x:c r="Q9" s="47"/>
      <x:c r="R9" s="47"/>
    </x:row>
    <x:row r="10">
      <x:c r="A10" s="6" t="str">
        <x:v>Experimental Lovell WI</x:v>
      </x:c>
      <x:c r="B10" s="6" t="str">
        <x:v>QC historical-rice pooled P1/P99</x:v>
      </x:c>
      <x:c r="C10" s="7" t="n">
        <x:v>-15.117907831306951</x:v>
      </x:c>
      <x:c r="D10" s="7" t="n">
        <x:v>-2.682668421422946</x:v>
      </x:c>
      <x:c r="E10" s="7" t="n">
        <x:v>2.534</x:v>
      </x:c>
      <x:c r="F10" s="7" t="n">
        <x:v>4.697</x:v>
      </x:c>
      <x:c r="G10" s="6" t="str">
        <x:v>Inside-reference, numerically stable observations only</x:v>
      </x:c>
      <x:c r="H10" s="6"/>
      <x:c r="I10" s="6"/>
      <x:c r="J10" s="6"/>
      <x:c r="K10" s="6"/>
      <x:c r="L10" s="6"/>
      <x:c r="M10" s="6"/>
      <x:c r="N10" s="6"/>
      <x:c r="O10" s="47"/>
      <x:c r="P10" s="47"/>
      <x:c r="Q10" s="47"/>
      <x:c r="R10" s="47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47"/>
      <x:c r="P11" s="47"/>
      <x:c r="Q11" s="47"/>
      <x:c r="R11" s="47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47"/>
      <x:c r="P12" s="47"/>
      <x:c r="Q12" s="47"/>
      <x:c r="R12" s="47"/>
    </x:row>
    <x:row r="13">
      <x:c r="A13" s="52" t="str">
        <x:v>Key spatial findings</x:v>
      </x:c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47"/>
      <x:c r="P13" s="47"/>
      <x:c r="Q13" s="47"/>
      <x:c r="R13" s="47"/>
    </x:row>
    <x:row r="14">
      <x:c r="A14" s="6" t="str">
        <x:v>Statistic</x:v>
      </x:c>
      <x:c r="B14" s="6" t="str">
        <x:v>Value</x:v>
      </x:c>
      <x:c r="C14" s="6" t="str">
        <x:v>Unit / range</x:v>
      </x:c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47"/>
      <x:c r="P14" s="47"/>
      <x:c r="Q14" s="47"/>
      <x:c r="R14" s="47"/>
    </x:row>
    <x:row r="15">
      <x:c r="A15" s="6" t="str">
        <x:v>Full fixed-support Cropland area</x:v>
      </x:c>
      <x:c r="B15" s="8" t="n">
        <x:v>121858.67</x:v>
      </x:c>
      <x:c r="C15" s="6" t="str">
        <x:v>ha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47"/>
      <x:c r="P15" s="47"/>
      <x:c r="Q15" s="47"/>
      <x:c r="R15" s="47"/>
    </x:row>
    <x:row r="16">
      <x:c r="A16" s="6" t="str">
        <x:v>Largest absolute Production vs rice-reference difference in 2+ reversal share</x:v>
      </x:c>
      <x:c r="B16" s="8" t="n">
        <x:v>0.05421708391214253</x:v>
      </x:c>
      <x:c r="C16" s="6" t="str">
        <x:v>percentage points</x:v>
      </x:c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47"/>
      <x:c r="P16" s="47"/>
      <x:c r="Q16" s="47"/>
      <x:c r="R16" s="47"/>
    </x:row>
    <x:row r="17">
      <x:c r="A17" s="6" t="str">
        <x:v>Largest absolute Production vs rice-reference difference in mean reversals</x:v>
      </x:c>
      <x:c r="B17" s="8" t="n">
        <x:v>0.0018889183590835579</x:v>
      </x:c>
      <x:c r="C17" s="6" t="str">
        <x:v>reversals per pixel</x:v>
      </x:c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47"/>
      <x:c r="P17" s="47"/>
      <x:c r="Q17" s="47"/>
      <x:c r="R17" s="47"/>
    </x:row>
    <x:row r="18">
      <x:c r="A18" s="6" t="str">
        <x:v>WI full-AOI eligible area range</x:v>
      </x:c>
      <x:c r="B18" s="8" t="n">
        <x:v>0</x:v>
      </x:c>
      <x:c r="C18" s="6" t="str">
        <x:v>to 121783.94 ha</x:v>
      </x:c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47"/>
      <x:c r="P18" s="47"/>
      <x:c r="Q18" s="47"/>
      <x:c r="R18" s="47"/>
    </x:row>
    <x:row r="19">
      <x:c r="A19" s="6" t="str">
        <x:v>Maximum WI insufficient share in a full-AOI window</x:v>
      </x:c>
      <x:c r="B19" s="9" t="n">
        <x:v>1</x:v>
      </x:c>
      <x:c r="C19" s="6" t="str">
        <x:v>% of domain</x:v>
      </x:c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47"/>
      <x:c r="P19" s="47"/>
      <x:c r="Q19" s="47"/>
      <x:c r="R19" s="47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47"/>
      <x:c r="P20" s="47"/>
      <x:c r="Q20" s="47"/>
      <x:c r="R20" s="47"/>
    </x:row>
    <x:row r="21">
      <x:c r="A21" s="52" t="str">
        <x:v>P90 full-AOI comparison: share of eligible pixels with 2+ reversals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47"/>
      <x:c r="P21" s="47"/>
      <x:c r="Q21" s="47"/>
      <x:c r="R21" s="47"/>
    </x:row>
    <x:row r="22">
      <x:c r="A22" s="6" t="str">
        <x:v>Window</x:v>
      </x:c>
      <x:c r="B22" s="6" t="str">
        <x:v>Production (%)</x:v>
      </x:c>
      <x:c r="C22" s="6" t="str">
        <x:v>Rice-reference (%)</x:v>
      </x:c>
      <x:c r="D22" s="6" t="str">
        <x:v>Lovell WI (%)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47"/>
      <x:c r="P22" s="47"/>
      <x:c r="Q22" s="47"/>
      <x:c r="R22" s="47"/>
    </x:row>
    <x:row r="23">
      <x:c r="A23" s="6" t="str">
        <x:v>2023 Wet core</x:v>
      </x:c>
      <x:c r="B23" s="10" t="n">
        <x:v>14.683370497971133</x:v>
      </x:c>
      <x:c r="C23" s="10" t="n">
        <x:v>14.67324401292087</x:v>
      </x:c>
      <x:c r="D23" s="10" t="n">
        <x:v>11.039403060863362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47"/>
      <x:c r="P23" s="47"/>
      <x:c r="Q23" s="47"/>
      <x:c r="R23" s="47"/>
    </x:row>
    <x:row r="24">
      <x:c r="A24" s="6" t="str">
        <x:v>2023 November transition</x:v>
      </x:c>
      <x:c r="B24" s="10" t="n">
        <x:v>0</x:v>
      </x:c>
      <x:c r="C24" s="10" t="n">
        <x:v>0</x:v>
      </x:c>
      <x:c r="D24" s="10" t="n">
        <x:v>0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47"/>
      <x:c r="P24" s="47"/>
      <x:c r="Q24" s="47"/>
      <x:c r="R24" s="47"/>
    </x:row>
    <x:row r="25">
      <x:c r="A25" s="6" t="str">
        <x:v>2023–2024 Dry core</x:v>
      </x:c>
      <x:c r="B25" s="10" t="n">
        <x:v>0.8495086972473932</x:v>
      </x:c>
      <x:c r="C25" s="10" t="n">
        <x:v>0.8485731872832684</x:v>
      </x:c>
      <x:c r="D25" s="10" t="n">
        <x:v>1.2911207707861072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47"/>
      <x:c r="P25" s="47"/>
      <x:c r="Q25" s="47"/>
      <x:c r="R25" s="47"/>
    </x:row>
    <x:row r="26">
      <x:c r="A26" s="6" t="str">
        <x:v>2024 Wet core</x:v>
      </x:c>
      <x:c r="B26" s="10" t="n">
        <x:v>12.131479852849207</x:v>
      </x:c>
      <x:c r="C26" s="10" t="n">
        <x:v>12.123002819577794</x:v>
      </x:c>
      <x:c r="D26" s="10" t="n">
        <x:v>15.468196004134928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47"/>
      <x:c r="P26" s="47"/>
      <x:c r="Q26" s="47"/>
      <x:c r="R26" s="47"/>
    </x:row>
    <x:row r="27">
      <x:c r="A27" s="6" t="str">
        <x:v>2024 November transition</x:v>
      </x:c>
      <x:c r="B27" s="10" t="n">
        <x:v>0</x:v>
      </x:c>
      <x:c r="C27" s="10" t="n">
        <x:v>0</x:v>
      </x:c>
      <x:c r="D27" s="10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47"/>
      <x:c r="P27" s="47"/>
      <x:c r="Q27" s="47"/>
      <x:c r="R27" s="47"/>
    </x:row>
    <x:row r="28">
      <x:c r="A28" s="6" t="str">
        <x:v>2024–2025 Dry core</x:v>
      </x:c>
      <x:c r="B28" s="10" t="n">
        <x:v>6.547798363464824</x:v>
      </x:c>
      <x:c r="C28" s="10" t="n">
        <x:v>6.5425792026123375</x:v>
      </x:c>
      <x:c r="D28" s="10" t="n">
        <x:v>10.266958693528514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47"/>
      <x:c r="P28" s="47"/>
      <x:c r="Q28" s="47"/>
      <x:c r="R28" s="47"/>
    </x:row>
    <x:row r="29">
      <x:c r="A29" s="6" t="str">
        <x:v>2025 Wet core</x:v>
      </x:c>
      <x:c r="B29" s="10" t="n">
        <x:v>6.675708835489506</x:v>
      </x:c>
      <x:c r="C29" s="10" t="n">
        <x:v>6.670785098836218</x:v>
      </x:c>
      <x:c r="D29" s="10" t="n">
        <x:v>12.683169532503175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47"/>
      <x:c r="P29" s="47"/>
      <x:c r="Q29" s="47"/>
      <x:c r="R29" s="47"/>
    </x:row>
    <x:row r="30">
      <x:c r="A30" s="6" t="str">
        <x:v>2025 November transition</x:v>
      </x:c>
      <x:c r="B30" s="10" t="n">
        <x:v>0</x:v>
      </x:c>
      <x:c r="C30" s="10" t="n">
        <x:v>0</x:v>
      </x:c>
      <x:c r="D30" s="10" t="n">
        <x:v>0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47"/>
      <x:c r="P30" s="47"/>
      <x:c r="Q30" s="47"/>
      <x:c r="R30" s="47"/>
    </x:row>
    <x:row r="31">
      <x:c r="A31" s="52" t="str">
        <x:v>Interpretation note</x:v>
      </x:c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47"/>
      <x:c r="P31" s="47"/>
      <x:c r="Q31" s="47"/>
      <x:c r="R31" s="47"/>
    </x:row>
    <x:row r="32">
      <x:c r="A32" s="31" t="str">
        <x:v>Production and rice-reference results use the same spatial support and linear equation, so their statistics are directly comparable. Lovell WI applies numerical eligibility rules; its reversal percentages use eligible pixels, while the insufficient share uses the full spatial domain. The three threshold values are method-specific and should not be compared as moisture thresholds.</x:v>
      </x:c>
      <x:c r="B32" s="32"/>
      <x:c r="C32" s="32"/>
      <x:c r="D32" s="33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47"/>
      <x:c r="P32" s="47"/>
      <x:c r="Q32" s="47"/>
      <x:c r="R32" s="47"/>
    </x:row>
    <x:row r="33">
      <x:c r="A33" s="34"/>
      <x:c r="B33" s="35"/>
      <x:c r="C33" s="35"/>
      <x:c r="D33" s="3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47"/>
      <x:c r="P33" s="47"/>
      <x:c r="Q33" s="47"/>
      <x:c r="R33" s="47"/>
    </x:row>
    <x:row r="34">
      <x:c r="A34" s="37"/>
      <x:c r="B34" s="38"/>
      <x:c r="C34" s="38"/>
      <x:c r="D34" s="39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47"/>
      <x:c r="P34" s="47"/>
      <x:c r="Q34" s="47"/>
      <x:c r="R34" s="47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47"/>
      <x:c r="P35" s="47"/>
      <x:c r="Q35" s="47"/>
      <x:c r="R35" s="47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47"/>
      <x:c r="P36" s="47"/>
      <x:c r="Q36" s="47"/>
      <x:c r="R36" s="47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47"/>
      <x:c r="P37" s="47"/>
      <x:c r="Q37" s="47"/>
      <x:c r="R37" s="47"/>
    </x:row>
  </x:sheetData>
  <x:mergeCells>
    <x:mergeCell ref="A32:D34"/>
  </x:mergeCells>
  <x:pageMargins left="0.7" right="0.7" top="0.75" bottom="0.75" header="0.3" footer="0.3"/>
  <x:drawing xmlns:r="http://schemas.openxmlformats.org/officeDocument/2006/relationships" r:id="R9f81adc990234bdf"/>
  <x:tableParts count="3">
    <x:tablePart xmlns:r="http://schemas.openxmlformats.org/officeDocument/2006/relationships" r:id="R78a1148cc22b4525"/>
    <x:tablePart xmlns:r="http://schemas.openxmlformats.org/officeDocument/2006/relationships" r:id="Rd785b47354364efb"/>
    <x:tablePart xmlns:r="http://schemas.openxmlformats.org/officeDocument/2006/relationships" r:id="R66bf8b57e6d54777"/>
  </x:tableParts>
</x:worksheet>
</file>

<file path=xl/worksheets/sheet2.xml><?xml version="1.0" encoding="utf-8"?>
<x:worksheet xmlns:x="http://schemas.openxmlformats.org/spreadsheetml/2006/main">
  <x:sheetPr>
    <x:tabColor rgb="FF2677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7" hidden="0" customWidth="1"/>
    <x:col min="2" max="2" width="23" hidden="0" customWidth="1"/>
    <x:col min="3" max="3" width="10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55" hidden="0" customWidth="1"/>
  </x:cols>
  <x:sheetData>
    <x:row r="2">
      <x:c r="A2" s="48" t="str">
        <x:v>Whole-region spatial statistics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47"/>
      <x:c r="T3" s="47"/>
      <x:c r="U3" s="47"/>
      <x:c r="V3" s="47"/>
    </x:row>
    <x:row r="4">
      <x:c r="A4" s="51" t="str">
        <x:v>Full Cropland AOI plus the WI historical-rice-overlap diagnostic domain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</x:row>
    <x:row r="6">
      <x:c r="A6" s="6" t="str">
        <x:v>Version</x:v>
      </x:c>
      <x:c r="B6" s="6" t="str">
        <x:v>Spatial scope</x:v>
      </x:c>
      <x:c r="C6" s="6" t="str">
        <x:v>Threshold</x:v>
      </x:c>
      <x:c r="D6" s="6" t="str">
        <x:v>Window</x:v>
      </x:c>
      <x:c r="E6" s="6" t="str">
        <x:v>Season</x:v>
      </x:c>
      <x:c r="F6" s="6" t="str">
        <x:v>Threshold value</x:v>
      </x:c>
      <x:c r="G6" s="6" t="str">
        <x:v>Start</x:v>
      </x:c>
      <x:c r="H6" s="6" t="str">
        <x:v>End exclusive</x:v>
      </x:c>
      <x:c r="I6" s="6" t="str">
        <x:v>Pairs</x:v>
      </x:c>
      <x:c r="J6" s="6" t="str">
        <x:v>Domain area (ha)</x:v>
      </x:c>
      <x:c r="K6" s="6" t="str">
        <x:v>Eligible area (ha)</x:v>
      </x:c>
      <x:c r="L6" s="6" t="str">
        <x:v>Insufficient (% domain)</x:v>
      </x:c>
      <x:c r="M6" s="6" t="str">
        <x:v>0 reversals (%)</x:v>
      </x:c>
      <x:c r="N6" s="6" t="str">
        <x:v>1 reversal (%)</x:v>
      </x:c>
      <x:c r="O6" s="6" t="str">
        <x:v>2 reversals (%)</x:v>
      </x:c>
      <x:c r="P6" s="6" t="str">
        <x:v>3+ reversals (%)</x:v>
      </x:c>
      <x:c r="Q6" s="6" t="str">
        <x:v>2+ reversals (%)</x:v>
      </x:c>
      <x:c r="R6" s="6" t="str">
        <x:v>Mean reversals</x:v>
      </x:c>
      <x:c r="S6" s="6" t="str">
        <x:v>Mean significant changes</x:v>
      </x:c>
      <x:c r="T6" s="6" t="str">
        <x:v>Positive / wetward-like changes</x:v>
      </x:c>
      <x:c r="U6" s="6" t="str">
        <x:v>Negative / dryward-like changes</x:v>
      </x:c>
      <x:c r="V6" s="6" t="str">
        <x:v>Eligibility note</x:v>
      </x:c>
    </x:row>
    <x:row r="7">
      <x:c r="A7" s="6" t="str">
        <x:v>Experimental Lovell WI · QC rice P1/P99</x:v>
      </x:c>
      <x:c r="B7" s="6" t="str">
        <x:v>Full Cropland AOI</x:v>
      </x:c>
      <x:c r="C7" s="6" t="str">
        <x:v>P80</x:v>
      </x:c>
      <x:c r="D7" s="6" t="str">
        <x:v>2023 Wet core</x:v>
      </x:c>
      <x:c r="E7" s="6" t="str">
        <x:v>Wet core</x:v>
      </x:c>
      <x:c r="F7" s="7" t="n">
        <x:v>2.5340000000000003</x:v>
      </x:c>
      <x:c r="G7" s="6" t="str">
        <x:v>2023-05-01</x:v>
      </x:c>
      <x:c r="H7" s="6" t="str">
        <x:v>2023-11-01</x:v>
      </x:c>
      <x:c r="I7" s="41" t="n">
        <x:v>14</x:v>
      </x:c>
      <x:c r="J7" s="42" t="n">
        <x:v>121858.67</x:v>
      </x:c>
      <x:c r="K7" s="42" t="n">
        <x:v>121783.94</x:v>
      </x:c>
      <x:c r="L7" s="43" t="n">
        <x:v>0.0006132514001670952</x:v>
      </x:c>
      <x:c r="M7" s="10" t="n">
        <x:v>38.543546874899924</x:v>
      </x:c>
      <x:c r="N7" s="10" t="n">
        <x:v>28.925275368821207</x:v>
      </x:c>
      <x:c r="O7" s="10" t="n">
        <x:v>10.13822512229445</x:v>
      </x:c>
      <x:c r="P7" s="10" t="n">
        <x:v>22.392952633984414</x:v>
      </x:c>
      <x:c r="Q7" s="10" t="n">
        <x:v>32.531177756278865</x:v>
      </x:c>
      <x:c r="R7" s="44" t="n">
        <x:v>1.3393835016341236</x:v>
      </x:c>
      <x:c r="S7" s="44" t="n">
        <x:v>2.441894473113614</x:v>
      </x:c>
      <x:c r="T7" s="45" t="n">
        <x:v>14190480</x:v>
      </x:c>
      <x:c r="U7" s="45" t="n">
        <x:v>15547873</x:v>
      </x:c>
      <x:c r="V7" s="6" t="str">
        <x:v>Percent reversal groups use eligible pixels; insufficient share uses full domain</x:v>
      </x:c>
    </x:row>
    <x:row r="8">
      <x:c r="A8" s="6" t="str">
        <x:v>Production relative index · Cropland min/max</x:v>
      </x:c>
      <x:c r="B8" s="6" t="str">
        <x:v>Full Cropland AOI</x:v>
      </x:c>
      <x:c r="C8" s="6" t="str">
        <x:v>P80</x:v>
      </x:c>
      <x:c r="D8" s="6" t="str">
        <x:v>2023 Wet core</x:v>
      </x:c>
      <x:c r="E8" s="6" t="str">
        <x:v>Wet core</x:v>
      </x:c>
      <x:c r="F8" s="7" t="n">
        <x:v>0.0443</x:v>
      </x:c>
      <x:c r="G8" s="6" t="str">
        <x:v>2023-05-01</x:v>
      </x:c>
      <x:c r="H8" s="6" t="str">
        <x:v>2023-11-01</x:v>
      </x:c>
      <x:c r="I8" s="41" t="n">
        <x:v>14</x:v>
      </x:c>
      <x:c r="J8" s="42" t="n">
        <x:v>121858.67</x:v>
      </x:c>
      <x:c r="K8" s="42" t="n">
        <x:v>121858.67</x:v>
      </x:c>
      <x:c r="L8" s="43" t="n">
        <x:v>0</x:v>
      </x:c>
      <x:c r="M8" s="10" t="n">
        <x:v>29.58893281864967</x:v>
      </x:c>
      <x:c r="N8" s="10" t="n">
        <x:v>27.030370510362538</x:v>
      </x:c>
      <x:c r="O8" s="10" t="n">
        <x:v>21.72360817658686</x:v>
      </x:c>
      <x:c r="P8" s="10" t="n">
        <x:v>21.65708849440093</x:v>
      </x:c>
      <x:c r="Q8" s="10" t="n">
        <x:v>43.380696670987795</x:v>
      </x:c>
      <x:c r="R8" s="44" t="n">
        <x:v>1.4904172185696758</x:v>
      </x:c>
      <x:c r="S8" s="44" t="n">
        <x:v>2.918919105222468</x:v>
      </x:c>
      <x:c r="T8" s="45" t="n">
        <x:v>15975435</x:v>
      </x:c>
      <x:c r="U8" s="45" t="n">
        <x:v>19594125</x:v>
      </x:c>
      <x:c r="V8" s="6" t="str">
        <x:v>All fixed-support Cropland pixels are eligible</x:v>
      </x:c>
    </x:row>
    <x:row r="9">
      <x:c r="A9" s="6" t="str">
        <x:v>Rice-reference relative index · rice raw min/max</x:v>
      </x:c>
      <x:c r="B9" s="6" t="str">
        <x:v>Full Cropland AOI</x:v>
      </x:c>
      <x:c r="C9" s="6" t="str">
        <x:v>P80</x:v>
      </x:c>
      <x:c r="D9" s="6" t="str">
        <x:v>2023 Wet core</x:v>
      </x:c>
      <x:c r="E9" s="6" t="str">
        <x:v>Wet core</x:v>
      </x:c>
      <x:c r="F9" s="7" t="n">
        <x:v>0.0468</x:v>
      </x:c>
      <x:c r="G9" s="6" t="str">
        <x:v>2023-05-01</x:v>
      </x:c>
      <x:c r="H9" s="6" t="str">
        <x:v>2023-11-01</x:v>
      </x:c>
      <x:c r="I9" s="41" t="n">
        <x:v>14</x:v>
      </x:c>
      <x:c r="J9" s="42" t="n">
        <x:v>121858.67</x:v>
      </x:c>
      <x:c r="K9" s="42" t="n">
        <x:v>121858.67</x:v>
      </x:c>
      <x:c r="L9" s="43" t="n">
        <x:v>0</x:v>
      </x:c>
      <x:c r="M9" s="10" t="n">
        <x:v>29.63496975635792</x:v>
      </x:c>
      <x:c r="N9" s="10" t="n">
        <x:v>27.037805352709004</x:v>
      </x:c>
      <x:c r="O9" s="10" t="n">
        <x:v>21.71175017748019</x:v>
      </x:c>
      <x:c r="P9" s="10" t="n">
        <x:v>21.615474713452887</x:v>
      </x:c>
      <x:c r="Q9" s="10" t="n">
        <x:v>43.32722489093308</x:v>
      </x:c>
      <x:c r="R9" s="44" t="n">
        <x:v>1.4886315434100832</x:v>
      </x:c>
      <x:c r="S9" s="44" t="n">
        <x:v>2.916345632198349</x:v>
      </x:c>
      <x:c r="T9" s="45" t="n">
        <x:v>15960642</x:v>
      </x:c>
      <x:c r="U9" s="45" t="n">
        <x:v>19577558</x:v>
      </x:c>
      <x:c r="V9" s="6" t="str">
        <x:v>All fixed-support Cropland pixels are eligible</x:v>
      </x:c>
    </x:row>
    <x:row r="10">
      <x:c r="A10" s="6" t="str">
        <x:v>Experimental Lovell WI · QC rice P1/P99</x:v>
      </x:c>
      <x:c r="B10" s="6" t="str">
        <x:v>Full Cropland AOI</x:v>
      </x:c>
      <x:c r="C10" s="6" t="str">
        <x:v>P80</x:v>
      </x:c>
      <x:c r="D10" s="6" t="str">
        <x:v>2023 November transition</x:v>
      </x:c>
      <x:c r="E10" s="6" t="str">
        <x:v>November transition</x:v>
      </x:c>
      <x:c r="F10" s="7" t="n">
        <x:v>2.5340000000000003</x:v>
      </x:c>
      <x:c r="G10" s="6" t="str">
        <x:v>2023-11-01</x:v>
      </x:c>
      <x:c r="H10" s="6" t="str">
        <x:v>2023-12-01</x:v>
      </x:c>
      <x:c r="I10" s="41" t="n">
        <x:v>2</x:v>
      </x:c>
      <x:c r="J10" s="42" t="n">
        <x:v>121858.67</x:v>
      </x:c>
      <x:c r="K10" s="42" t="n">
        <x:v>108986.35</x:v>
      </x:c>
      <x:c r="L10" s="43" t="n">
        <x:v>0.1056331896614332</x:v>
      </x:c>
      <x:c r="M10" s="10" t="n">
        <x:v>86.2336154940504</x:v>
      </x:c>
      <x:c r="N10" s="10" t="n">
        <x:v>13.766384505949599</x:v>
      </x:c>
      <x:c r="O10" s="10" t="n">
        <x:v>0</x:v>
      </x:c>
      <x:c r="P10" s="10" t="n">
        <x:v>0</x:v>
      </x:c>
      <x:c r="Q10" s="10" t="n">
        <x:v>0</x:v>
      </x:c>
      <x:c r="R10" s="44" t="n">
        <x:v>0.13766384505949597</x:v>
      </x:c>
      <x:c r="S10" s="44" t="n">
        <x:v>0.6517410666565124</x:v>
      </x:c>
      <x:c r="T10" s="45" t="n">
        <x:v>4512228</x:v>
      </x:c>
      <x:c r="U10" s="45" t="n">
        <x:v>2590860</x:v>
      </x:c>
      <x:c r="V10" s="6" t="str">
        <x:v>Percent reversal groups use eligible pixels; insufficient share uses full domain</x:v>
      </x:c>
    </x:row>
    <x:row r="11">
      <x:c r="A11" s="6" t="str">
        <x:v>Production relative index · Cropland min/max</x:v>
      </x:c>
      <x:c r="B11" s="6" t="str">
        <x:v>Full Cropland AOI</x:v>
      </x:c>
      <x:c r="C11" s="6" t="str">
        <x:v>P80</x:v>
      </x:c>
      <x:c r="D11" s="6" t="str">
        <x:v>2023 November transition</x:v>
      </x:c>
      <x:c r="E11" s="6" t="str">
        <x:v>November transition</x:v>
      </x:c>
      <x:c r="F11" s="7" t="n">
        <x:v>0.0443</x:v>
      </x:c>
      <x:c r="G11" s="6" t="str">
        <x:v>2023-11-01</x:v>
      </x:c>
      <x:c r="H11" s="6" t="str">
        <x:v>2023-12-01</x:v>
      </x:c>
      <x:c r="I11" s="41" t="n">
        <x:v>2</x:v>
      </x:c>
      <x:c r="J11" s="42" t="n">
        <x:v>121858.67</x:v>
      </x:c>
      <x:c r="K11" s="42" t="n">
        <x:v>121858.67</x:v>
      </x:c>
      <x:c r="L11" s="43" t="n">
        <x:v>0</x:v>
      </x:c>
      <x:c r="M11" s="10" t="n">
        <x:v>93.87328780135218</x:v>
      </x:c>
      <x:c r="N11" s="10" t="n">
        <x:v>6.1267121986478275</x:v>
      </x:c>
      <x:c r="O11" s="10" t="n">
        <x:v>0</x:v>
      </x:c>
      <x:c r="P11" s="10" t="n">
        <x:v>0</x:v>
      </x:c>
      <x:c r="Q11" s="10" t="n">
        <x:v>0</x:v>
      </x:c>
      <x:c r="R11" s="44" t="n">
        <x:v>0.06126712198647827</x:v>
      </x:c>
      <x:c r="S11" s="44" t="n">
        <x:v>0.491351005225972</x:v>
      </x:c>
      <x:c r="T11" s="45" t="n">
        <x:v>4255040</x:v>
      </x:c>
      <x:c r="U11" s="45" t="n">
        <x:v>1732498</x:v>
      </x:c>
      <x:c r="V11" s="6" t="str">
        <x:v>All fixed-support Cropland pixels are eligible</x:v>
      </x:c>
    </x:row>
    <x:row r="12">
      <x:c r="A12" s="6" t="str">
        <x:v>Rice-reference relative index · rice raw min/max</x:v>
      </x:c>
      <x:c r="B12" s="6" t="str">
        <x:v>Full Cropland AOI</x:v>
      </x:c>
      <x:c r="C12" s="6" t="str">
        <x:v>P80</x:v>
      </x:c>
      <x:c r="D12" s="6" t="str">
        <x:v>2023 November transition</x:v>
      </x:c>
      <x:c r="E12" s="6" t="str">
        <x:v>November transition</x:v>
      </x:c>
      <x:c r="F12" s="7" t="n">
        <x:v>0.0468</x:v>
      </x:c>
      <x:c r="G12" s="6" t="str">
        <x:v>2023-11-01</x:v>
      </x:c>
      <x:c r="H12" s="6" t="str">
        <x:v>2023-12-01</x:v>
      </x:c>
      <x:c r="I12" s="41" t="n">
        <x:v>2</x:v>
      </x:c>
      <x:c r="J12" s="42" t="n">
        <x:v>121858.67</x:v>
      </x:c>
      <x:c r="K12" s="42" t="n">
        <x:v>121858.67</x:v>
      </x:c>
      <x:c r="L12" s="43" t="n">
        <x:v>0</x:v>
      </x:c>
      <x:c r="M12" s="10" t="n">
        <x:v>93.88075546860966</x:v>
      </x:c>
      <x:c r="N12" s="10" t="n">
        <x:v>6.119244531390339</x:v>
      </x:c>
      <x:c r="O12" s="10" t="n">
        <x:v>0</x:v>
      </x:c>
      <x:c r="P12" s="10" t="n">
        <x:v>0</x:v>
      </x:c>
      <x:c r="Q12" s="10" t="n">
        <x:v>0</x:v>
      </x:c>
      <x:c r="R12" s="44" t="n">
        <x:v>0.061192445313903394</x:v>
      </x:c>
      <x:c r="S12" s="44" t="n">
        <x:v>0.4909823814751958</x:v>
      </x:c>
      <x:c r="T12" s="45" t="n">
        <x:v>4252156</x:v>
      </x:c>
      <x:c r="U12" s="45" t="n">
        <x:v>1730890</x:v>
      </x:c>
      <x:c r="V12" s="6" t="str">
        <x:v>All fixed-support Cropland pixels are eligible</x:v>
      </x:c>
    </x:row>
    <x:row r="13">
      <x:c r="A13" s="6" t="str">
        <x:v>Experimental Lovell WI · QC rice P1/P99</x:v>
      </x:c>
      <x:c r="B13" s="6" t="str">
        <x:v>Full Cropland AOI</x:v>
      </x:c>
      <x:c r="C13" s="6" t="str">
        <x:v>P80</x:v>
      </x:c>
      <x:c r="D13" s="6" t="str">
        <x:v>2023–2024 Dry core</x:v>
      </x:c>
      <x:c r="E13" s="6" t="str">
        <x:v>Dry core</x:v>
      </x:c>
      <x:c r="F13" s="7" t="n">
        <x:v>2.5340000000000003</x:v>
      </x:c>
      <x:c r="G13" s="6" t="str">
        <x:v>2023-12-01</x:v>
      </x:c>
      <x:c r="H13" s="6" t="str">
        <x:v>2024-05-01</x:v>
      </x:c>
      <x:c r="I13" s="41" t="n">
        <x:v>8</x:v>
      </x:c>
      <x:c r="J13" s="42" t="n">
        <x:v>121858.67</x:v>
      </x:c>
      <x:c r="K13" s="42" t="n">
        <x:v>121759.33</x:v>
      </x:c>
      <x:c r="L13" s="43" t="n">
        <x:v>0.0008152066652294826</x:v>
      </x:c>
      <x:c r="M13" s="10" t="n">
        <x:v>78.88436146946603</x:v>
      </x:c>
      <x:c r="N13" s="10" t="n">
        <x:v>16.29561365030507</x:v>
      </x:c>
      <x:c r="O13" s="10" t="n">
        <x:v>2.940398900026799</x:v>
      </x:c>
      <x:c r="P13" s="10" t="n">
        <x:v>1.879625980202092</x:v>
      </x:c>
      <x:c r="Q13" s="10" t="n">
        <x:v>4.820024880228891</x:v>
      </x:c>
      <x:c r="R13" s="44" t="n">
        <x:v>0.2808565060270946</x:v>
      </x:c>
      <x:c r="S13" s="44" t="n">
        <x:v>0.9983604541844966</x:v>
      </x:c>
      <x:c r="T13" s="45" t="n">
        <x:v>6249886</x:v>
      </x:c>
      <x:c r="U13" s="45" t="n">
        <x:v>5906084</x:v>
      </x:c>
      <x:c r="V13" s="6" t="str">
        <x:v>Percent reversal groups use eligible pixels; insufficient share uses full domain</x:v>
      </x:c>
    </x:row>
    <x:row r="14">
      <x:c r="A14" s="6" t="str">
        <x:v>Production relative index · Cropland min/max</x:v>
      </x:c>
      <x:c r="B14" s="6" t="str">
        <x:v>Full Cropland AOI</x:v>
      </x:c>
      <x:c r="C14" s="6" t="str">
        <x:v>P80</x:v>
      </x:c>
      <x:c r="D14" s="6" t="str">
        <x:v>2023–2024 Dry core</x:v>
      </x:c>
      <x:c r="E14" s="6" t="str">
        <x:v>Dry core</x:v>
      </x:c>
      <x:c r="F14" s="7" t="n">
        <x:v>0.0443</x:v>
      </x:c>
      <x:c r="G14" s="6" t="str">
        <x:v>2023-12-01</x:v>
      </x:c>
      <x:c r="H14" s="6" t="str">
        <x:v>2024-05-01</x:v>
      </x:c>
      <x:c r="I14" s="41" t="n">
        <x:v>8</x:v>
      </x:c>
      <x:c r="J14" s="42" t="n">
        <x:v>121858.67</x:v>
      </x:c>
      <x:c r="K14" s="42" t="n">
        <x:v>121858.67</x:v>
      </x:c>
      <x:c r="L14" s="43" t="n">
        <x:v>0</x:v>
      </x:c>
      <x:c r="M14" s="10" t="n">
        <x:v>77.41978473915725</x:v>
      </x:c>
      <x:c r="N14" s="10" t="n">
        <x:v>17.134505078711264</x:v>
      </x:c>
      <x:c r="O14" s="10" t="n">
        <x:v>4.517265780104116</x:v>
      </x:c>
      <x:c r="P14" s="10" t="n">
        <x:v>0.928444402027365</x:v>
      </x:c>
      <x:c r="Q14" s="10" t="n">
        <x:v>5.445710182131481</x:v>
      </x:c>
      <x:c r="R14" s="44" t="n">
        <x:v>0.290770775686293</x:v>
      </x:c>
      <x:c r="S14" s="44" t="n">
        <x:v>1.323342606644238</x:v>
      </x:c>
      <x:c r="T14" s="45" t="n">
        <x:v>8640810</x:v>
      </x:c>
      <x:c r="U14" s="45" t="n">
        <x:v>7485267</x:v>
      </x:c>
      <x:c r="V14" s="6" t="str">
        <x:v>All fixed-support Cropland pixels are eligible</x:v>
      </x:c>
    </x:row>
    <x:row r="15">
      <x:c r="A15" s="6" t="str">
        <x:v>Rice-reference relative index · rice raw min/max</x:v>
      </x:c>
      <x:c r="B15" s="6" t="str">
        <x:v>Full Cropland AOI</x:v>
      </x:c>
      <x:c r="C15" s="6" t="str">
        <x:v>P80</x:v>
      </x:c>
      <x:c r="D15" s="6" t="str">
        <x:v>2023–2024 Dry core</x:v>
      </x:c>
      <x:c r="E15" s="6" t="str">
        <x:v>Dry core</x:v>
      </x:c>
      <x:c r="F15" s="7" t="n">
        <x:v>0.0468</x:v>
      </x:c>
      <x:c r="G15" s="6" t="str">
        <x:v>2023-12-01</x:v>
      </x:c>
      <x:c r="H15" s="6" t="str">
        <x:v>2024-05-01</x:v>
      </x:c>
      <x:c r="I15" s="41" t="n">
        <x:v>8</x:v>
      </x:c>
      <x:c r="J15" s="42" t="n">
        <x:v>121858.67</x:v>
      </x:c>
      <x:c r="K15" s="42" t="n">
        <x:v>121858.67</x:v>
      </x:c>
      <x:c r="L15" s="43" t="n">
        <x:v>0</x:v>
      </x:c>
      <x:c r="M15" s="10" t="n">
        <x:v>77.45299534288368</x:v>
      </x:c>
      <x:c r="N15" s="10" t="n">
        <x:v>17.113882828361742</x:v>
      </x:c>
      <x:c r="O15" s="10" t="n">
        <x:v>4.507344450747739</x:v>
      </x:c>
      <x:c r="P15" s="10" t="n">
        <x:v>0.9257773780068337</x:v>
      </x:c>
      <x:c r="Q15" s="10" t="n">
        <x:v>5.433121828754572</x:v>
      </x:c>
      <x:c r="R15" s="44" t="n">
        <x:v>0.29028307957078475</x:v>
      </x:c>
      <x:c r="S15" s="44" t="n">
        <x:v>1.3219623191357661</x:v>
      </x:c>
      <x:c r="T15" s="45" t="n">
        <x:v>8631764</x:v>
      </x:c>
      <x:c r="U15" s="45" t="n">
        <x:v>7477493</x:v>
      </x:c>
      <x:c r="V15" s="6" t="str">
        <x:v>All fixed-support Cropland pixels are eligible</x:v>
      </x:c>
    </x:row>
    <x:row r="16">
      <x:c r="A16" s="6" t="str">
        <x:v>Experimental Lovell WI · QC rice P1/P99</x:v>
      </x:c>
      <x:c r="B16" s="6" t="str">
        <x:v>Full Cropland AOI</x:v>
      </x:c>
      <x:c r="C16" s="6" t="str">
        <x:v>P80</x:v>
      </x:c>
      <x:c r="D16" s="6" t="str">
        <x:v>2024 Wet core</x:v>
      </x:c>
      <x:c r="E16" s="6" t="str">
        <x:v>Wet core</x:v>
      </x:c>
      <x:c r="F16" s="7" t="n">
        <x:v>2.5340000000000003</x:v>
      </x:c>
      <x:c r="G16" s="6" t="str">
        <x:v>2024-05-01</x:v>
      </x:c>
      <x:c r="H16" s="6" t="str">
        <x:v>2024-11-01</x:v>
      </x:c>
      <x:c r="I16" s="41" t="n">
        <x:v>14</x:v>
      </x:c>
      <x:c r="J16" s="42" t="n">
        <x:v>121858.67</x:v>
      </x:c>
      <x:c r="K16" s="42" t="n">
        <x:v>121743.35</x:v>
      </x:c>
      <x:c r="L16" s="43" t="n">
        <x:v>0.000946342184762069</x:v>
      </x:c>
      <x:c r="M16" s="10" t="n">
        <x:v>34.48197375873097</x:v>
      </x:c>
      <x:c r="N16" s="10" t="n">
        <x:v>25.98850779118531</x:v>
      </x:c>
      <x:c r="O16" s="10" t="n">
        <x:v>13.326633446508577</x:v>
      </x:c>
      <x:c r="P16" s="10" t="n">
        <x:v>26.202885003575144</x:v>
      </x:c>
      <x:c r="Q16" s="10" t="n">
        <x:v>39.52951845008372</x:v>
      </x:c>
      <x:c r="R16" s="44" t="n">
        <x:v>1.564612112283751</x:v>
      </x:c>
      <x:c r="S16" s="44" t="n">
        <x:v>2.771541443536752</x:v>
      </x:c>
      <x:c r="T16" s="45" t="n">
        <x:v>15648667</x:v>
      </x:c>
      <x:c r="U16" s="45" t="n">
        <x:v>18093007</x:v>
      </x:c>
      <x:c r="V16" s="6" t="str">
        <x:v>Percent reversal groups use eligible pixels; insufficient share uses full domain</x:v>
      </x:c>
    </x:row>
    <x:row r="17">
      <x:c r="A17" s="6" t="str">
        <x:v>Production relative index · Cropland min/max</x:v>
      </x:c>
      <x:c r="B17" s="6" t="str">
        <x:v>Full Cropland AOI</x:v>
      </x:c>
      <x:c r="C17" s="6" t="str">
        <x:v>P80</x:v>
      </x:c>
      <x:c r="D17" s="6" t="str">
        <x:v>2024 Wet core</x:v>
      </x:c>
      <x:c r="E17" s="6" t="str">
        <x:v>Wet core</x:v>
      </x:c>
      <x:c r="F17" s="7" t="n">
        <x:v>0.0443</x:v>
      </x:c>
      <x:c r="G17" s="6" t="str">
        <x:v>2024-05-01</x:v>
      </x:c>
      <x:c r="H17" s="6" t="str">
        <x:v>2024-11-01</x:v>
      </x:c>
      <x:c r="I17" s="41" t="n">
        <x:v>14</x:v>
      </x:c>
      <x:c r="J17" s="42" t="n">
        <x:v>121858.67</x:v>
      </x:c>
      <x:c r="K17" s="42" t="n">
        <x:v>121858.67</x:v>
      </x:c>
      <x:c r="L17" s="43" t="n">
        <x:v>0</x:v>
      </x:c>
      <x:c r="M17" s="10" t="n">
        <x:v>31.141411604114833</x:v>
      </x:c>
      <x:c r="N17" s="10" t="n">
        <x:v>28.951571521336973</x:v>
      </x:c>
      <x:c r="O17" s="10" t="n">
        <x:v>20.295379885567435</x:v>
      </x:c>
      <x:c r="P17" s="10" t="n">
        <x:v>19.61163698898076</x:v>
      </x:c>
      <x:c r="Q17" s="10" t="n">
        <x:v>39.9070168745482</x:v>
      </x:c>
      <x:c r="R17" s="44" t="n">
        <x:v>1.3966144550896542</x:v>
      </x:c>
      <x:c r="S17" s="44" t="n">
        <x:v>2.806423621725069</x:v>
      </x:c>
      <x:c r="T17" s="45" t="n">
        <x:v>15317086</x:v>
      </x:c>
      <x:c r="U17" s="45" t="n">
        <x:v>18881619</x:v>
      </x:c>
      <x:c r="V17" s="6" t="str">
        <x:v>All fixed-support Cropland pixels are eligible</x:v>
      </x:c>
    </x:row>
    <x:row r="18">
      <x:c r="A18" s="6" t="str">
        <x:v>Rice-reference relative index · rice raw min/max</x:v>
      </x:c>
      <x:c r="B18" s="6" t="str">
        <x:v>Full Cropland AOI</x:v>
      </x:c>
      <x:c r="C18" s="6" t="str">
        <x:v>P80</x:v>
      </x:c>
      <x:c r="D18" s="6" t="str">
        <x:v>2024 Wet core</x:v>
      </x:c>
      <x:c r="E18" s="6" t="str">
        <x:v>Wet core</x:v>
      </x:c>
      <x:c r="F18" s="7" t="n">
        <x:v>0.0468</x:v>
      </x:c>
      <x:c r="G18" s="6" t="str">
        <x:v>2024-05-01</x:v>
      </x:c>
      <x:c r="H18" s="6" t="str">
        <x:v>2024-11-01</x:v>
      </x:c>
      <x:c r="I18" s="41" t="n">
        <x:v>14</x:v>
      </x:c>
      <x:c r="J18" s="42" t="n">
        <x:v>121858.67</x:v>
      </x:c>
      <x:c r="K18" s="42" t="n">
        <x:v>121858.67</x:v>
      </x:c>
      <x:c r="L18" s="43" t="n">
        <x:v>0</x:v>
      </x:c>
      <x:c r="M18" s="10" t="n">
        <x:v>31.18744854182308</x:v>
      </x:c>
      <x:c r="N18" s="10" t="n">
        <x:v>28.958169328452378</x:v>
      </x:c>
      <x:c r="O18" s="10" t="n">
        <x:v>20.282676645001953</x:v>
      </x:c>
      <x:c r="P18" s="10" t="n">
        <x:v>19.57170548472259</x:v>
      </x:c>
      <x:c r="Q18" s="10" t="n">
        <x:v>39.85438212972454</x:v>
      </x:c>
      <x:c r="R18" s="44" t="n">
        <x:v>1.394892870568832</x:v>
      </x:c>
      <x:c r="S18" s="44" t="n">
        <x:v>2.803895857389548</x:v>
      </x:c>
      <x:c r="T18" s="45" t="n">
        <x:v>15302996</x:v>
      </x:c>
      <x:c r="U18" s="45" t="n">
        <x:v>18864906</x:v>
      </x:c>
      <x:c r="V18" s="6" t="str">
        <x:v>All fixed-support Cropland pixels are eligible</x:v>
      </x:c>
    </x:row>
    <x:row r="19">
      <x:c r="A19" s="6" t="str">
        <x:v>Experimental Lovell WI · QC rice P1/P99</x:v>
      </x:c>
      <x:c r="B19" s="6" t="str">
        <x:v>Full Cropland AOI</x:v>
      </x:c>
      <x:c r="C19" s="6" t="str">
        <x:v>P80</x:v>
      </x:c>
      <x:c r="D19" s="6" t="str">
        <x:v>2024 November transition</x:v>
      </x:c>
      <x:c r="E19" s="6" t="str">
        <x:v>November transition</x:v>
      </x:c>
      <x:c r="F19" s="7" t="n">
        <x:v>2.5340000000000003</x:v>
      </x:c>
      <x:c r="G19" s="6" t="str">
        <x:v>2024-11-01</x:v>
      </x:c>
      <x:c r="H19" s="6" t="str">
        <x:v>2024-12-01</x:v>
      </x:c>
      <x:c r="I19" s="41" t="n">
        <x:v>1</x:v>
      </x:c>
      <x:c r="J19" s="42" t="n">
        <x:v>121858.67</x:v>
      </x:c>
      <x:c r="K19" s="42" t="n">
        <x:v>0</x:v>
      </x:c>
      <x:c r="L19" s="43" t="n">
        <x:v>1</x:v>
      </x:c>
      <x:c r="M19" s="10"/>
      <x:c r="N19" s="10"/>
      <x:c r="O19" s="10"/>
      <x:c r="P19" s="10"/>
      <x:c r="Q19" s="10"/>
      <x:c r="R19" s="44"/>
      <x:c r="S19" s="44"/>
      <x:c r="T19" s="45" t="n">
        <x:v>2091493</x:v>
      </x:c>
      <x:c r="U19" s="45" t="n">
        <x:v>1445004</x:v>
      </x:c>
      <x:c r="V19" s="6" t="str">
        <x:v>Percent reversal groups use eligible pixels; insufficient share uses full domain</x:v>
      </x:c>
    </x:row>
    <x:row r="20">
      <x:c r="A20" s="6" t="str">
        <x:v>Production relative index · Cropland min/max</x:v>
      </x:c>
      <x:c r="B20" s="6" t="str">
        <x:v>Full Cropland AOI</x:v>
      </x:c>
      <x:c r="C20" s="6" t="str">
        <x:v>P80</x:v>
      </x:c>
      <x:c r="D20" s="6" t="str">
        <x:v>2024 November transition</x:v>
      </x:c>
      <x:c r="E20" s="6" t="str">
        <x:v>November transition</x:v>
      </x:c>
      <x:c r="F20" s="7" t="n">
        <x:v>0.0443</x:v>
      </x:c>
      <x:c r="G20" s="6" t="str">
        <x:v>2024-11-01</x:v>
      </x:c>
      <x:c r="H20" s="6" t="str">
        <x:v>2024-12-01</x:v>
      </x:c>
      <x:c r="I20" s="41" t="n">
        <x:v>1</x:v>
      </x:c>
      <x:c r="J20" s="42" t="n">
        <x:v>121858.67</x:v>
      </x:c>
      <x:c r="K20" s="42" t="n">
        <x:v>121858.67</x:v>
      </x:c>
      <x:c r="L20" s="43" t="n">
        <x:v>0</x:v>
      </x:c>
      <x:c r="M20" s="10" t="n">
        <x:v>100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44" t="n">
        <x:v>0</x:v>
      </x:c>
      <x:c r="S20" s="44" t="n">
        <x:v>0.23342672294059996</x:v>
      </x:c>
      <x:c r="T20" s="45" t="n">
        <x:v>1963264</x:v>
      </x:c>
      <x:c r="U20" s="45" t="n">
        <x:v>881243</x:v>
      </x:c>
      <x:c r="V20" s="6" t="str">
        <x:v>All fixed-support Cropland pixels are eligible</x:v>
      </x:c>
    </x:row>
    <x:row r="21">
      <x:c r="A21" s="6" t="str">
        <x:v>Rice-reference relative index · rice raw min/max</x:v>
      </x:c>
      <x:c r="B21" s="6" t="str">
        <x:v>Full Cropland AOI</x:v>
      </x:c>
      <x:c r="C21" s="6" t="str">
        <x:v>P80</x:v>
      </x:c>
      <x:c r="D21" s="6" t="str">
        <x:v>2024 November transition</x:v>
      </x:c>
      <x:c r="E21" s="6" t="str">
        <x:v>November transition</x:v>
      </x:c>
      <x:c r="F21" s="7" t="n">
        <x:v>0.0468</x:v>
      </x:c>
      <x:c r="G21" s="6" t="str">
        <x:v>2024-11-01</x:v>
      </x:c>
      <x:c r="H21" s="6" t="str">
        <x:v>2024-12-01</x:v>
      </x:c>
      <x:c r="I21" s="41" t="n">
        <x:v>1</x:v>
      </x:c>
      <x:c r="J21" s="42" t="n">
        <x:v>121858.67</x:v>
      </x:c>
      <x:c r="K21" s="42" t="n">
        <x:v>121858.67</x:v>
      </x:c>
      <x:c r="L21" s="43" t="n">
        <x:v>0</x:v>
      </x:c>
      <x:c r="M21" s="10" t="n">
        <x:v>100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44" t="n">
        <x:v>0</x:v>
      </x:c>
      <x:c r="S21" s="44" t="n">
        <x:v>0.2332456114940365</x:v>
      </x:c>
      <x:c r="T21" s="45" t="n">
        <x:v>1961962</x:v>
      </x:c>
      <x:c r="U21" s="45" t="n">
        <x:v>880338</x:v>
      </x:c>
      <x:c r="V21" s="6" t="str">
        <x:v>All fixed-support Cropland pixels are eligible</x:v>
      </x:c>
    </x:row>
    <x:row r="22">
      <x:c r="A22" s="6" t="str">
        <x:v>Experimental Lovell WI · QC rice P1/P99</x:v>
      </x:c>
      <x:c r="B22" s="6" t="str">
        <x:v>Full Cropland AOI</x:v>
      </x:c>
      <x:c r="C22" s="6" t="str">
        <x:v>P80</x:v>
      </x:c>
      <x:c r="D22" s="6" t="str">
        <x:v>2024–2025 Dry core</x:v>
      </x:c>
      <x:c r="E22" s="6" t="str">
        <x:v>Dry core</x:v>
      </x:c>
      <x:c r="F22" s="7" t="n">
        <x:v>2.5340000000000003</x:v>
      </x:c>
      <x:c r="G22" s="6" t="str">
        <x:v>2024-12-01</x:v>
      </x:c>
      <x:c r="H22" s="6" t="str">
        <x:v>2025-05-01</x:v>
      </x:c>
      <x:c r="I22" s="41" t="n">
        <x:v>12</x:v>
      </x:c>
      <x:c r="J22" s="42" t="n">
        <x:v>121858.67</x:v>
      </x:c>
      <x:c r="K22" s="42" t="n">
        <x:v>121682.87</x:v>
      </x:c>
      <x:c r="L22" s="43" t="n">
        <x:v>0.00144265483941356</x:v>
      </x:c>
      <x:c r="M22" s="10" t="n">
        <x:v>43.493032338898644</x:v>
      </x:c>
      <x:c r="N22" s="10" t="n">
        <x:v>28.310040681979313</x:v>
      </x:c>
      <x:c r="O22" s="10" t="n">
        <x:v>9.654974442992675</x:v>
      </x:c>
      <x:c r="P22" s="10" t="n">
        <x:v>18.541952536129365</x:v>
      </x:c>
      <x:c r="Q22" s="10" t="n">
        <x:v>28.19692697912204</x:v>
      </x:c>
      <x:c r="R22" s="44" t="n">
        <x:v>1.15049866920463</x:v>
      </x:c>
      <x:c r="S22" s="44" t="n">
        <x:v>2.194394658837353</x:v>
      </x:c>
      <x:c r="T22" s="45" t="n">
        <x:v>14014411</x:v>
      </x:c>
      <x:c r="U22" s="45" t="n">
        <x:v>12687613</x:v>
      </x:c>
      <x:c r="V22" s="6" t="str">
        <x:v>Percent reversal groups use eligible pixels; insufficient share uses full domain</x:v>
      </x:c>
    </x:row>
    <x:row r="23">
      <x:c r="A23" s="6" t="str">
        <x:v>Production relative index · Cropland min/max</x:v>
      </x:c>
      <x:c r="B23" s="6" t="str">
        <x:v>Full Cropland AOI</x:v>
      </x:c>
      <x:c r="C23" s="6" t="str">
        <x:v>P80</x:v>
      </x:c>
      <x:c r="D23" s="6" t="str">
        <x:v>2024–2025 Dry core</x:v>
      </x:c>
      <x:c r="E23" s="6" t="str">
        <x:v>Dry core</x:v>
      </x:c>
      <x:c r="F23" s="7" t="n">
        <x:v>0.0443</x:v>
      </x:c>
      <x:c r="G23" s="6" t="str">
        <x:v>2024-12-01</x:v>
      </x:c>
      <x:c r="H23" s="6" t="str">
        <x:v>2025-05-01</x:v>
      </x:c>
      <x:c r="I23" s="41" t="n">
        <x:v>12</x:v>
      </x:c>
      <x:c r="J23" s="42" t="n">
        <x:v>121858.67</x:v>
      </x:c>
      <x:c r="K23" s="42" t="n">
        <x:v>121858.67</x:v>
      </x:c>
      <x:c r="L23" s="43" t="n">
        <x:v>0</x:v>
      </x:c>
      <x:c r="M23" s="10" t="n">
        <x:v>45.14117050514338</x:v>
      </x:c>
      <x:c r="N23" s="10" t="n">
        <x:v>28.49722551542701</x:v>
      </x:c>
      <x:c r="O23" s="10" t="n">
        <x:v>15.111678143212954</x:v>
      </x:c>
      <x:c r="P23" s="10" t="n">
        <x:v>11.24992583621666</x:v>
      </x:c>
      <x:c r="Q23" s="10" t="n">
        <x:v>26.361603979429614</x:v>
      </x:c>
      <x:c r="R23" s="44" t="n">
        <x:v>0.9756365304167525</x:v>
      </x:c>
      <x:c r="S23" s="44" t="n">
        <x:v>2.171773580000504</x:v>
      </x:c>
      <x:c r="T23" s="45" t="n">
        <x:v>13651328</x:v>
      </x:c>
      <x:c r="U23" s="45" t="n">
        <x:v>12813616</x:v>
      </x:c>
      <x:c r="V23" s="6" t="str">
        <x:v>All fixed-support Cropland pixels are eligible</x:v>
      </x:c>
    </x:row>
    <x:row r="24">
      <x:c r="A24" s="6" t="str">
        <x:v>Rice-reference relative index · rice raw min/max</x:v>
      </x:c>
      <x:c r="B24" s="6" t="str">
        <x:v>Full Cropland AOI</x:v>
      </x:c>
      <x:c r="C24" s="6" t="str">
        <x:v>P80</x:v>
      </x:c>
      <x:c r="D24" s="6" t="str">
        <x:v>2024–2025 Dry core</x:v>
      </x:c>
      <x:c r="E24" s="6" t="str">
        <x:v>Dry core</x:v>
      </x:c>
      <x:c r="F24" s="7" t="n">
        <x:v>0.0468</x:v>
      </x:c>
      <x:c r="G24" s="6" t="str">
        <x:v>2024-12-01</x:v>
      </x:c>
      <x:c r="H24" s="6" t="str">
        <x:v>2025-05-01</x:v>
      </x:c>
      <x:c r="I24" s="41" t="n">
        <x:v>12</x:v>
      </x:c>
      <x:c r="J24" s="42" t="n">
        <x:v>121858.67</x:v>
      </x:c>
      <x:c r="K24" s="42" t="n">
        <x:v>121858.67</x:v>
      </x:c>
      <x:c r="L24" s="43" t="n">
        <x:v>0</x:v>
      </x:c>
      <x:c r="M24" s="10" t="n">
        <x:v>45.194002199433164</x:v>
      </x:c>
      <x:c r="N24" s="10" t="n">
        <x:v>28.488034540340873</x:v>
      </x:c>
      <x:c r="O24" s="10" t="n">
        <x:v>15.093427492684764</x:v>
      </x:c>
      <x:c r="P24" s="10" t="n">
        <x:v>11.224535767541202</x:v>
      </x:c>
      <x:c r="Q24" s="10" t="n">
        <x:v>26.317963260225966</x:v>
      </x:c>
      <x:c r="R24" s="44" t="n">
        <x:v>0.9742646132605911</x:v>
      </x:c>
      <x:c r="S24" s="44" t="n">
        <x:v>2.1696208402734087</x:v>
      </x:c>
      <x:c r="T24" s="45" t="n">
        <x:v>13637212</x:v>
      </x:c>
      <x:c r="U24" s="45" t="n">
        <x:v>12801499</x:v>
      </x:c>
      <x:c r="V24" s="6" t="str">
        <x:v>All fixed-support Cropland pixels are eligible</x:v>
      </x:c>
    </x:row>
    <x:row r="25">
      <x:c r="A25" s="6" t="str">
        <x:v>Experimental Lovell WI · QC rice P1/P99</x:v>
      </x:c>
      <x:c r="B25" s="6" t="str">
        <x:v>Full Cropland AOI</x:v>
      </x:c>
      <x:c r="C25" s="6" t="str">
        <x:v>P80</x:v>
      </x:c>
      <x:c r="D25" s="6" t="str">
        <x:v>2025 Wet core</x:v>
      </x:c>
      <x:c r="E25" s="6" t="str">
        <x:v>Wet core</x:v>
      </x:c>
      <x:c r="F25" s="7" t="n">
        <x:v>2.5340000000000003</x:v>
      </x:c>
      <x:c r="G25" s="6" t="str">
        <x:v>2025-05-01</x:v>
      </x:c>
      <x:c r="H25" s="6" t="str">
        <x:v>2025-11-01</x:v>
      </x:c>
      <x:c r="I25" s="41" t="n">
        <x:v>12</x:v>
      </x:c>
      <x:c r="J25" s="42" t="n">
        <x:v>121858.67</x:v>
      </x:c>
      <x:c r="K25" s="42" t="n">
        <x:v>121678.26000000001</x:v>
      </x:c>
      <x:c r="L25" s="43" t="n">
        <x:v>0.0014804855493663275</x:v>
      </x:c>
      <x:c r="M25" s="10" t="n">
        <x:v>38.498742503385564</x:v>
      </x:c>
      <x:c r="N25" s="10" t="n">
        <x:v>29.11891573728947</x:v>
      </x:c>
      <x:c r="O25" s="10" t="n">
        <x:v>15.847029699471376</x:v>
      </x:c>
      <x:c r="P25" s="10" t="n">
        <x:v>16.535312059853585</x:v>
      </x:c>
      <x:c r="Q25" s="10" t="n">
        <x:v>32.38234175932496</x:v>
      </x:c>
      <x:c r="R25" s="44" t="n">
        <x:v>1.2166269471637743</x:v>
      </x:c>
      <x:c r="S25" s="44" t="n">
        <x:v>2.7486656203006192</x:v>
      </x:c>
      <x:c r="T25" s="45" t="n">
        <x:v>16555062</x:v>
      </x:c>
      <x:c r="U25" s="45" t="n">
        <x:v>16890223</x:v>
      </x:c>
      <x:c r="V25" s="6" t="str">
        <x:v>Percent reversal groups use eligible pixels; insufficient share uses full domain</x:v>
      </x:c>
    </x:row>
    <x:row r="26">
      <x:c r="A26" s="6" t="str">
        <x:v>Production relative index · Cropland min/max</x:v>
      </x:c>
      <x:c r="B26" s="6" t="str">
        <x:v>Full Cropland AOI</x:v>
      </x:c>
      <x:c r="C26" s="6" t="str">
        <x:v>P80</x:v>
      </x:c>
      <x:c r="D26" s="6" t="str">
        <x:v>2025 Wet core</x:v>
      </x:c>
      <x:c r="E26" s="6" t="str">
        <x:v>Wet core</x:v>
      </x:c>
      <x:c r="F26" s="7" t="n">
        <x:v>0.0443</x:v>
      </x:c>
      <x:c r="G26" s="6" t="str">
        <x:v>2025-05-01</x:v>
      </x:c>
      <x:c r="H26" s="6" t="str">
        <x:v>2025-11-01</x:v>
      </x:c>
      <x:c r="I26" s="41" t="n">
        <x:v>12</x:v>
      </x:c>
      <x:c r="J26" s="42" t="n">
        <x:v>121858.67</x:v>
      </x:c>
      <x:c r="K26" s="42" t="n">
        <x:v>121858.67</x:v>
      </x:c>
      <x:c r="L26" s="43" t="n">
        <x:v>0</x:v>
      </x:c>
      <x:c r="M26" s="10" t="n">
        <x:v>42.66252864896687</x:v>
      </x:c>
      <x:c r="N26" s="10" t="n">
        <x:v>32.2236243018244</x:v>
      </x:c>
      <x:c r="O26" s="10" t="n">
        <x:v>16.482758264143207</x:v>
      </x:c>
      <x:c r="P26" s="10" t="n">
        <x:v>8.631088785065518</x:v>
      </x:c>
      <x:c r="Q26" s="10" t="n">
        <x:v>25.113847049208726</x:v>
      </x:c>
      <x:c r="R26" s="44" t="n">
        <x:v>0.9392268929244016</x:v>
      </x:c>
      <x:c r="S26" s="44" t="n">
        <x:v>2.46106354188832</x:v>
      </x:c>
      <x:c r="T26" s="45" t="n">
        <x:v>14774354</x:v>
      </x:c>
      <x:c r="U26" s="45" t="n">
        <x:v>15215839</x:v>
      </x:c>
      <x:c r="V26" s="6" t="str">
        <x:v>All fixed-support Cropland pixels are eligible</x:v>
      </x:c>
    </x:row>
    <x:row r="27">
      <x:c r="A27" s="6" t="str">
        <x:v>Rice-reference relative index · rice raw min/max</x:v>
      </x:c>
      <x:c r="B27" s="6" t="str">
        <x:v>Full Cropland AOI</x:v>
      </x:c>
      <x:c r="C27" s="6" t="str">
        <x:v>P80</x:v>
      </x:c>
      <x:c r="D27" s="6" t="str">
        <x:v>2025 Wet core</x:v>
      </x:c>
      <x:c r="E27" s="6" t="str">
        <x:v>Wet core</x:v>
      </x:c>
      <x:c r="F27" s="7" t="n">
        <x:v>0.0468</x:v>
      </x:c>
      <x:c r="G27" s="6" t="str">
        <x:v>2025-05-01</x:v>
      </x:c>
      <x:c r="H27" s="6" t="str">
        <x:v>2025-11-01</x:v>
      </x:c>
      <x:c r="I27" s="41" t="n">
        <x:v>12</x:v>
      </x:c>
      <x:c r="J27" s="42" t="n">
        <x:v>121858.67</x:v>
      </x:c>
      <x:c r="K27" s="42" t="n">
        <x:v>121858.67</x:v>
      </x:c>
      <x:c r="L27" s="43" t="n">
        <x:v>0</x:v>
      </x:c>
      <x:c r="M27" s="10" t="n">
        <x:v>42.70862303026941</x:v>
      </x:c>
      <x:c r="N27" s="10" t="n">
        <x:v>32.217641961790655</x:v>
      </x:c>
      <x:c r="O27" s="10" t="n">
        <x:v>16.46252170649819</x:v>
      </x:c>
      <x:c r="P27" s="10" t="n">
        <x:v>8.611213301441744</x:v>
      </x:c>
      <x:c r="Q27" s="10" t="n">
        <x:v>25.073735007939934</x:v>
      </x:c>
      <x:c r="R27" s="44" t="n">
        <x:v>0.9380694865617687</x:v>
      </x:c>
      <x:c r="S27" s="44" t="n">
        <x:v>2.4588789619975335</x:v>
      </x:c>
      <x:c r="T27" s="45" t="n">
        <x:v>14761380</x:v>
      </x:c>
      <x:c r="U27" s="45" t="n">
        <x:v>15202192</x:v>
      </x:c>
      <x:c r="V27" s="6" t="str">
        <x:v>All fixed-support Cropland pixels are eligible</x:v>
      </x:c>
    </x:row>
    <x:row r="28">
      <x:c r="A28" s="6" t="str">
        <x:v>Experimental Lovell WI · QC rice P1/P99</x:v>
      </x:c>
      <x:c r="B28" s="6" t="str">
        <x:v>Full Cropland AOI</x:v>
      </x:c>
      <x:c r="C28" s="6" t="str">
        <x:v>P80</x:v>
      </x:c>
      <x:c r="D28" s="6" t="str">
        <x:v>2025 November transition</x:v>
      </x:c>
      <x:c r="E28" s="6" t="str">
        <x:v>November transition</x:v>
      </x:c>
      <x:c r="F28" s="7" t="n">
        <x:v>2.5340000000000003</x:v>
      </x:c>
      <x:c r="G28" s="6" t="str">
        <x:v>2025-11-01</x:v>
      </x:c>
      <x:c r="H28" s="6" t="str">
        <x:v>2025-12-01</x:v>
      </x:c>
      <x:c r="I28" s="41" t="n">
        <x:v>2</x:v>
      </x:c>
      <x:c r="J28" s="42" t="n">
        <x:v>121858.67</x:v>
      </x:c>
      <x:c r="K28" s="42" t="n">
        <x:v>105634.02</x:v>
      </x:c>
      <x:c r="L28" s="43" t="n">
        <x:v>0.13314317315296484</x:v>
      </x:c>
      <x:c r="M28" s="10" t="n">
        <x:v>82.5975003128727</x:v>
      </x:c>
      <x:c r="N28" s="10" t="n">
        <x:v>17.40249968712731</x:v>
      </x:c>
      <x:c r="O28" s="10" t="n">
        <x:v>0</x:v>
      </x:c>
      <x:c r="P28" s="10" t="n">
        <x:v>0</x:v>
      </x:c>
      <x:c r="Q28" s="10" t="n">
        <x:v>0</x:v>
      </x:c>
      <x:c r="R28" s="44" t="n">
        <x:v>0.1740249968712731</x:v>
      </x:c>
      <x:c r="S28" s="44" t="n">
        <x:v>0.7587875572661156</x:v>
      </x:c>
      <x:c r="T28" s="45" t="n">
        <x:v>4415383</x:v>
      </x:c>
      <x:c r="U28" s="45" t="n">
        <x:v>3599995</x:v>
      </x:c>
      <x:c r="V28" s="6" t="str">
        <x:v>Percent reversal groups use eligible pixels; insufficient share uses full domain</x:v>
      </x:c>
    </x:row>
    <x:row r="29">
      <x:c r="A29" s="6" t="str">
        <x:v>Production relative index · Cropland min/max</x:v>
      </x:c>
      <x:c r="B29" s="6" t="str">
        <x:v>Full Cropland AOI</x:v>
      </x:c>
      <x:c r="C29" s="6" t="str">
        <x:v>P80</x:v>
      </x:c>
      <x:c r="D29" s="6" t="str">
        <x:v>2025 November transition</x:v>
      </x:c>
      <x:c r="E29" s="6" t="str">
        <x:v>November transition</x:v>
      </x:c>
      <x:c r="F29" s="7" t="n">
        <x:v>0.0443</x:v>
      </x:c>
      <x:c r="G29" s="6" t="str">
        <x:v>2025-11-01</x:v>
      </x:c>
      <x:c r="H29" s="6" t="str">
        <x:v>2025-12-01</x:v>
      </x:c>
      <x:c r="I29" s="41" t="n">
        <x:v>2</x:v>
      </x:c>
      <x:c r="J29" s="42" t="n">
        <x:v>121858.67</x:v>
      </x:c>
      <x:c r="K29" s="42" t="n">
        <x:v>121858.67</x:v>
      </x:c>
      <x:c r="L29" s="43" t="n">
        <x:v>0</x:v>
      </x:c>
      <x:c r="M29" s="10" t="n">
        <x:v>94.61727261589184</x:v>
      </x:c>
      <x:c r="N29" s="10" t="n">
        <x:v>5.382727384108164</x:v>
      </x:c>
      <x:c r="O29" s="10" t="n">
        <x:v>0</x:v>
      </x:c>
      <x:c r="P29" s="10" t="n">
        <x:v>0</x:v>
      </x:c>
      <x:c r="Q29" s="10" t="n">
        <x:v>0</x:v>
      </x:c>
      <x:c r="R29" s="44" t="n">
        <x:v>0.05382727384108164</x:v>
      </x:c>
      <x:c r="S29" s="44" t="n">
        <x:v>0.4962929597048778</x:v>
      </x:c>
      <x:c r="T29" s="45" t="n">
        <x:v>4337545</x:v>
      </x:c>
      <x:c r="U29" s="45" t="n">
        <x:v>1710215</x:v>
      </x:c>
      <x:c r="V29" s="6" t="str">
        <x:v>All fixed-support Cropland pixels are eligible</x:v>
      </x:c>
    </x:row>
    <x:row r="30">
      <x:c r="A30" s="6" t="str">
        <x:v>Rice-reference relative index · rice raw min/max</x:v>
      </x:c>
      <x:c r="B30" s="6" t="str">
        <x:v>Full Cropland AOI</x:v>
      </x:c>
      <x:c r="C30" s="6" t="str">
        <x:v>P80</x:v>
      </x:c>
      <x:c r="D30" s="6" t="str">
        <x:v>2025 November transition</x:v>
      </x:c>
      <x:c r="E30" s="6" t="str">
        <x:v>November transition</x:v>
      </x:c>
      <x:c r="F30" s="7" t="n">
        <x:v>0.0468</x:v>
      </x:c>
      <x:c r="G30" s="6" t="str">
        <x:v>2025-11-01</x:v>
      </x:c>
      <x:c r="H30" s="6" t="str">
        <x:v>2025-12-01</x:v>
      </x:c>
      <x:c r="I30" s="41" t="n">
        <x:v>2</x:v>
      </x:c>
      <x:c r="J30" s="42" t="n">
        <x:v>121858.67</x:v>
      </x:c>
      <x:c r="K30" s="42" t="n">
        <x:v>121858.67</x:v>
      </x:c>
      <x:c r="L30" s="43" t="n">
        <x:v>0</x:v>
      </x:c>
      <x:c r="M30" s="10" t="n">
        <x:v>94.6242643219395</x:v>
      </x:c>
      <x:c r="N30" s="10" t="n">
        <x:v>5.375735678060495</x:v>
      </x:c>
      <x:c r="O30" s="10" t="n">
        <x:v>0</x:v>
      </x:c>
      <x:c r="P30" s="10" t="n">
        <x:v>0</x:v>
      </x:c>
      <x:c r="Q30" s="10" t="n">
        <x:v>0</x:v>
      </x:c>
      <x:c r="R30" s="44" t="n">
        <x:v>0.05375735678060494</x:v>
      </x:c>
      <x:c r="S30" s="44" t="n">
        <x:v>0.4959506779451967</x:v>
      </x:c>
      <x:c r="T30" s="45" t="n">
        <x:v>4335302</x:v>
      </x:c>
      <x:c r="U30" s="45" t="n">
        <x:v>1708287</x:v>
      </x:c>
      <x:c r="V30" s="6" t="str">
        <x:v>All fixed-support Cropland pixels are eligible</x:v>
      </x:c>
    </x:row>
    <x:row r="31">
      <x:c r="A31" s="6" t="str">
        <x:v>Experimental Lovell WI · QC rice P1/P99</x:v>
      </x:c>
      <x:c r="B31" s="6" t="str">
        <x:v>Full Cropland AOI</x:v>
      </x:c>
      <x:c r="C31" s="6" t="str">
        <x:v>P90</x:v>
      </x:c>
      <x:c r="D31" s="6" t="str">
        <x:v>2023 Wet core</x:v>
      </x:c>
      <x:c r="E31" s="6" t="str">
        <x:v>Wet core</x:v>
      </x:c>
      <x:c r="F31" s="7" t="n">
        <x:v>4.697</x:v>
      </x:c>
      <x:c r="G31" s="6" t="str">
        <x:v>2023-05-01</x:v>
      </x:c>
      <x:c r="H31" s="6" t="str">
        <x:v>2023-11-01</x:v>
      </x:c>
      <x:c r="I31" s="41" t="n">
        <x:v>14</x:v>
      </x:c>
      <x:c r="J31" s="42" t="n">
        <x:v>121858.67</x:v>
      </x:c>
      <x:c r="K31" s="42" t="n">
        <x:v>121783.94</x:v>
      </x:c>
      <x:c r="L31" s="43" t="n">
        <x:v>0.0006132514001670952</x:v>
      </x:c>
      <x:c r="M31" s="10" t="n">
        <x:v>64.80421802743449</x:v>
      </x:c>
      <x:c r="N31" s="10" t="n">
        <x:v>24.156378911702152</x:v>
      </x:c>
      <x:c r="O31" s="10" t="n">
        <x:v>3.798670005256851</x:v>
      </x:c>
      <x:c r="P31" s="10" t="n">
        <x:v>7.240733055606511</x:v>
      </x:c>
      <x:c r="Q31" s="10" t="n">
        <x:v>11.039403060863362</x:v>
      </x:c>
      <x:c r="R31" s="44" t="n">
        <x:v>0.5684335717829461</x:v>
      </x:c>
      <x:c r="S31" s="44" t="n">
        <x:v>1.1454577672556825</x:v>
      </x:c>
      <x:c r="T31" s="45" t="n">
        <x:v>6689459</x:v>
      </x:c>
      <x:c r="U31" s="45" t="n">
        <x:v>7260377</x:v>
      </x:c>
      <x:c r="V31" s="6" t="str">
        <x:v>Percent reversal groups use eligible pixels; insufficient share uses full domain</x:v>
      </x:c>
    </x:row>
    <x:row r="32">
      <x:c r="A32" s="6" t="str">
        <x:v>Production relative index · Cropland min/max</x:v>
      </x:c>
      <x:c r="B32" s="6" t="str">
        <x:v>Full Cropland AOI</x:v>
      </x:c>
      <x:c r="C32" s="6" t="str">
        <x:v>P90</x:v>
      </x:c>
      <x:c r="D32" s="6" t="str">
        <x:v>2023 Wet core</x:v>
      </x:c>
      <x:c r="E32" s="6" t="str">
        <x:v>Wet core</x:v>
      </x:c>
      <x:c r="F32" s="7" t="n">
        <x:v>0.0588</x:v>
      </x:c>
      <x:c r="G32" s="6" t="str">
        <x:v>2023-05-01</x:v>
      </x:c>
      <x:c r="H32" s="6" t="str">
        <x:v>2023-11-01</x:v>
      </x:c>
      <x:c r="I32" s="41" t="n">
        <x:v>14</x:v>
      </x:c>
      <x:c r="J32" s="42" t="n">
        <x:v>121858.67</x:v>
      </x:c>
      <x:c r="K32" s="42" t="n">
        <x:v>121858.67</x:v>
      </x:c>
      <x:c r="L32" s="43" t="n">
        <x:v>0</x:v>
      </x:c>
      <x:c r="M32" s="10" t="n">
        <x:v>62.10057109600819</x:v>
      </x:c>
      <x:c r="N32" s="10" t="n">
        <x:v>23.21605840602068</x:v>
      </x:c>
      <x:c r="O32" s="10" t="n">
        <x:v>10.357777579551787</x:v>
      </x:c>
      <x:c r="P32" s="10" t="n">
        <x:v>4.325592918419346</x:v>
      </x:c>
      <x:c r="Q32" s="10" t="n">
        <x:v>14.683370497971133</x:v>
      </x:c>
      <x:c r="R32" s="44" t="n">
        <x:v>0.5838490605551496</x:v>
      </x:c>
      <x:c r="S32" s="44" t="n">
        <x:v>1.4768614330026744</x:v>
      </x:c>
      <x:c r="T32" s="45" t="n">
        <x:v>7937670</x:v>
      </x:c>
      <x:c r="U32" s="45" t="n">
        <x:v>10059167</x:v>
      </x:c>
      <x:c r="V32" s="6" t="str">
        <x:v>All fixed-support Cropland pixels are eligible</x:v>
      </x:c>
    </x:row>
    <x:row r="33">
      <x:c r="A33" s="6" t="str">
        <x:v>Rice-reference relative index · rice raw min/max</x:v>
      </x:c>
      <x:c r="B33" s="6" t="str">
        <x:v>Full Cropland AOI</x:v>
      </x:c>
      <x:c r="C33" s="6" t="str">
        <x:v>P90</x:v>
      </x:c>
      <x:c r="D33" s="6" t="str">
        <x:v>2023 Wet core</x:v>
      </x:c>
      <x:c r="E33" s="6" t="str">
        <x:v>Wet core</x:v>
      </x:c>
      <x:c r="F33" s="7" t="n">
        <x:v>0.0621</x:v>
      </x:c>
      <x:c r="G33" s="6" t="str">
        <x:v>2023-05-01</x:v>
      </x:c>
      <x:c r="H33" s="6" t="str">
        <x:v>2023-11-01</x:v>
      </x:c>
      <x:c r="I33" s="41" t="n">
        <x:v>14</x:v>
      </x:c>
      <x:c r="J33" s="42" t="n">
        <x:v>121858.67</x:v>
      </x:c>
      <x:c r="K33" s="42" t="n">
        <x:v>121858.67</x:v>
      </x:c>
      <x:c r="L33" s="43" t="n">
        <x:v>0</x:v>
      </x:c>
      <x:c r="M33" s="10" t="n">
        <x:v>62.11528486237376</x:v>
      </x:c>
      <x:c r="N33" s="10" t="n">
        <x:v>23.211471124705366</x:v>
      </x:c>
      <x:c r="O33" s="10" t="n">
        <x:v>10.35161470250742</x:v>
      </x:c>
      <x:c r="P33" s="10" t="n">
        <x:v>4.321629310413448</x:v>
      </x:c>
      <x:c r="Q33" s="10" t="n">
        <x:v>14.67324401292087</x:v>
      </x:c>
      <x:c r="R33" s="44" t="n">
        <x:v>0.5835424758862049</x:v>
      </x:c>
      <x:c r="S33" s="44" t="n">
        <x:v>1.4763170318533758</x:v>
      </x:c>
      <x:c r="T33" s="45" t="n">
        <x:v>7934735</x:v>
      </x:c>
      <x:c r="U33" s="45" t="n">
        <x:v>10055468</x:v>
      </x:c>
      <x:c r="V33" s="6" t="str">
        <x:v>All fixed-support Cropland pixels are eligible</x:v>
      </x:c>
    </x:row>
    <x:row r="34">
      <x:c r="A34" s="6" t="str">
        <x:v>Experimental Lovell WI · QC rice P1/P99</x:v>
      </x:c>
      <x:c r="B34" s="6" t="str">
        <x:v>Full Cropland AOI</x:v>
      </x:c>
      <x:c r="C34" s="6" t="str">
        <x:v>P90</x:v>
      </x:c>
      <x:c r="D34" s="6" t="str">
        <x:v>2023 November transition</x:v>
      </x:c>
      <x:c r="E34" s="6" t="str">
        <x:v>November transition</x:v>
      </x:c>
      <x:c r="F34" s="7" t="n">
        <x:v>4.697</x:v>
      </x:c>
      <x:c r="G34" s="6" t="str">
        <x:v>2023-11-01</x:v>
      </x:c>
      <x:c r="H34" s="6" t="str">
        <x:v>2023-12-01</x:v>
      </x:c>
      <x:c r="I34" s="41" t="n">
        <x:v>2</x:v>
      </x:c>
      <x:c r="J34" s="42" t="n">
        <x:v>121858.67</x:v>
      </x:c>
      <x:c r="K34" s="42" t="n">
        <x:v>108986.35</x:v>
      </x:c>
      <x:c r="L34" s="43" t="n">
        <x:v>0.1056331896614332</x:v>
      </x:c>
      <x:c r="M34" s="10" t="n">
        <x:v>92.33576498341306</x:v>
      </x:c>
      <x:c r="N34" s="10" t="n">
        <x:v>7.6642350165869395</x:v>
      </x:c>
      <x:c r="O34" s="10" t="n">
        <x:v>0</x:v>
      </x:c>
      <x:c r="P34" s="10" t="n">
        <x:v>0</x:v>
      </x:c>
      <x:c r="Q34" s="10" t="n">
        <x:v>0</x:v>
      </x:c>
      <x:c r="R34" s="44" t="n">
        <x:v>0.0766423501658694</x:v>
      </x:c>
      <x:c r="S34" s="44" t="n">
        <x:v>0.36061928856228326</x:v>
      </x:c>
      <x:c r="T34" s="45" t="n">
        <x:v>2476408</x:v>
      </x:c>
      <x:c r="U34" s="45" t="n">
        <x:v>1453850</x:v>
      </x:c>
      <x:c r="V34" s="6" t="str">
        <x:v>Percent reversal groups use eligible pixels; insufficient share uses full domain</x:v>
      </x:c>
    </x:row>
    <x:row r="35">
      <x:c r="A35" s="6" t="str">
        <x:v>Production relative index · Cropland min/max</x:v>
      </x:c>
      <x:c r="B35" s="6" t="str">
        <x:v>Full Cropland AOI</x:v>
      </x:c>
      <x:c r="C35" s="6" t="str">
        <x:v>P90</x:v>
      </x:c>
      <x:c r="D35" s="6" t="str">
        <x:v>2023 November transition</x:v>
      </x:c>
      <x:c r="E35" s="6" t="str">
        <x:v>November transition</x:v>
      </x:c>
      <x:c r="F35" s="7" t="n">
        <x:v>0.0588</x:v>
      </x:c>
      <x:c r="G35" s="6" t="str">
        <x:v>2023-11-01</x:v>
      </x:c>
      <x:c r="H35" s="6" t="str">
        <x:v>2023-12-01</x:v>
      </x:c>
      <x:c r="I35" s="41" t="n">
        <x:v>2</x:v>
      </x:c>
      <x:c r="J35" s="42" t="n">
        <x:v>121858.67</x:v>
      </x:c>
      <x:c r="K35" s="42" t="n">
        <x:v>121858.67</x:v>
      </x:c>
      <x:c r="L35" s="43" t="n">
        <x:v>0</x:v>
      </x:c>
      <x:c r="M35" s="10" t="n">
        <x:v>97.41978145666616</x:v>
      </x:c>
      <x:c r="N35" s="10" t="n">
        <x:v>2.580218543333847</x:v>
      </x:c>
      <x:c r="O35" s="10" t="n">
        <x:v>0</x:v>
      </x:c>
      <x:c r="P35" s="10" t="n">
        <x:v>0</x:v>
      </x:c>
      <x:c r="Q35" s="10" t="n">
        <x:v>0</x:v>
      </x:c>
      <x:c r="R35" s="44" t="n">
        <x:v>0.025802185433338475</x:v>
      </x:c>
      <x:c r="S35" s="44" t="n">
        <x:v>0.277536181873641</x:v>
      </x:c>
      <x:c r="T35" s="45" t="n">
        <x:v>2527007</x:v>
      </x:c>
      <x:c r="U35" s="45" t="n">
        <x:v>855012</x:v>
      </x:c>
      <x:c r="V35" s="6" t="str">
        <x:v>All fixed-support Cropland pixels are eligible</x:v>
      </x:c>
    </x:row>
    <x:row r="36">
      <x:c r="A36" s="6" t="str">
        <x:v>Rice-reference relative index · rice raw min/max</x:v>
      </x:c>
      <x:c r="B36" s="6" t="str">
        <x:v>Full Cropland AOI</x:v>
      </x:c>
      <x:c r="C36" s="6" t="str">
        <x:v>P90</x:v>
      </x:c>
      <x:c r="D36" s="6" t="str">
        <x:v>2023 November transition</x:v>
      </x:c>
      <x:c r="E36" s="6" t="str">
        <x:v>November transition</x:v>
      </x:c>
      <x:c r="F36" s="7" t="n">
        <x:v>0.0621</x:v>
      </x:c>
      <x:c r="G36" s="6" t="str">
        <x:v>2023-11-01</x:v>
      </x:c>
      <x:c r="H36" s="6" t="str">
        <x:v>2023-12-01</x:v>
      </x:c>
      <x:c r="I36" s="41" t="n">
        <x:v>2</x:v>
      </x:c>
      <x:c r="J36" s="42" t="n">
        <x:v>121858.67</x:v>
      </x:c>
      <x:c r="K36" s="42" t="n">
        <x:v>121858.67</x:v>
      </x:c>
      <x:c r="L36" s="43" t="n">
        <x:v>0</x:v>
      </x:c>
      <x:c r="M36" s="10" t="n">
        <x:v>97.42101239082947</x:v>
      </x:c>
      <x:c r="N36" s="10" t="n">
        <x:v>2.5789876091705253</x:v>
      </x:c>
      <x:c r="O36" s="10" t="n">
        <x:v>0</x:v>
      </x:c>
      <x:c r="P36" s="10" t="n">
        <x:v>0</x:v>
      </x:c>
      <x:c r="Q36" s="10" t="n">
        <x:v>0</x:v>
      </x:c>
      <x:c r="R36" s="44" t="n">
        <x:v>0.02578987609170525</x:v>
      </x:c>
      <x:c r="S36" s="44" t="n">
        <x:v>0.2774495241085431</x:v>
      </x:c>
      <x:c r="T36" s="45" t="n">
        <x:v>2526289</x:v>
      </x:c>
      <x:c r="U36" s="45" t="n">
        <x:v>854674</x:v>
      </x:c>
      <x:c r="V36" s="6" t="str">
        <x:v>All fixed-support Cropland pixels are eligible</x:v>
      </x:c>
    </x:row>
    <x:row r="37">
      <x:c r="A37" s="6" t="str">
        <x:v>Experimental Lovell WI · QC rice P1/P99</x:v>
      </x:c>
      <x:c r="B37" s="6" t="str">
        <x:v>Full Cropland AOI</x:v>
      </x:c>
      <x:c r="C37" s="6" t="str">
        <x:v>P90</x:v>
      </x:c>
      <x:c r="D37" s="6" t="str">
        <x:v>2023–2024 Dry core</x:v>
      </x:c>
      <x:c r="E37" s="6" t="str">
        <x:v>Dry core</x:v>
      </x:c>
      <x:c r="F37" s="7" t="n">
        <x:v>4.697</x:v>
      </x:c>
      <x:c r="G37" s="6" t="str">
        <x:v>2023-12-01</x:v>
      </x:c>
      <x:c r="H37" s="6" t="str">
        <x:v>2024-05-01</x:v>
      </x:c>
      <x:c r="I37" s="41" t="n">
        <x:v>8</x:v>
      </x:c>
      <x:c r="J37" s="42" t="n">
        <x:v>121858.67</x:v>
      </x:c>
      <x:c r="K37" s="42" t="n">
        <x:v>121759.33</x:v>
      </x:c>
      <x:c r="L37" s="43" t="n">
        <x:v>0.0008152066652294826</x:v>
      </x:c>
      <x:c r="M37" s="10" t="n">
        <x:v>90.09399936744067</x:v>
      </x:c>
      <x:c r="N37" s="10" t="n">
        <x:v>8.614879861773222</x:v>
      </x:c>
      <x:c r="O37" s="10" t="n">
        <x:v>0.763341913921504</x:v>
      </x:c>
      <x:c r="P37" s="10" t="n">
        <x:v>0.5277788568646034</x:v>
      </x:c>
      <x:c r="Q37" s="10" t="n">
        <x:v>1.2911207707861072</x:v>
      </x:c>
      <x:c r="R37" s="44" t="n">
        <x:v>0.1177494981288087</x:v>
      </x:c>
      <x:c r="S37" s="44" t="n">
        <x:v>0.45338661111226547</x:v>
      </x:c>
      <x:c r="T37" s="45" t="n">
        <x:v>2778339</x:v>
      </x:c>
      <x:c r="U37" s="45" t="n">
        <x:v>2742066</x:v>
      </x:c>
      <x:c r="V37" s="6" t="str">
        <x:v>Percent reversal groups use eligible pixels; insufficient share uses full domain</x:v>
      </x:c>
    </x:row>
    <x:row r="38">
      <x:c r="A38" s="6" t="str">
        <x:v>Production relative index · Cropland min/max</x:v>
      </x:c>
      <x:c r="B38" s="6" t="str">
        <x:v>Full Cropland AOI</x:v>
      </x:c>
      <x:c r="C38" s="6" t="str">
        <x:v>P90</x:v>
      </x:c>
      <x:c r="D38" s="6" t="str">
        <x:v>2023–2024 Dry core</x:v>
      </x:c>
      <x:c r="E38" s="6" t="str">
        <x:v>Dry core</x:v>
      </x:c>
      <x:c r="F38" s="7" t="n">
        <x:v>0.0588</x:v>
      </x:c>
      <x:c r="G38" s="6" t="str">
        <x:v>2023-12-01</x:v>
      </x:c>
      <x:c r="H38" s="6" t="str">
        <x:v>2024-05-01</x:v>
      </x:c>
      <x:c r="I38" s="41" t="n">
        <x:v>8</x:v>
      </x:c>
      <x:c r="J38" s="42" t="n">
        <x:v>121858.67</x:v>
      </x:c>
      <x:c r="K38" s="42" t="n">
        <x:v>121858.67</x:v>
      </x:c>
      <x:c r="L38" s="43" t="n">
        <x:v>0</x:v>
      </x:c>
      <x:c r="M38" s="10" t="n">
        <x:v>93.40307095096311</x:v>
      </x:c>
      <x:c r="N38" s="10" t="n">
        <x:v>5.747420351789495</x:v>
      </x:c>
      <x:c r="O38" s="10" t="n">
        <x:v>0.7624570332172508</x:v>
      </x:c>
      <x:c r="P38" s="10" t="n">
        <x:v>0.08705166403014246</x:v>
      </x:c>
      <x:c r="Q38" s="10" t="n">
        <x:v>0.8495086972473932</x:v>
      </x:c>
      <x:c r="R38" s="44" t="n">
        <x:v>0.07541022727393956</x:v>
      </x:c>
      <x:c r="S38" s="44" t="n">
        <x:v>0.5831338878062595</x:v>
      </x:c>
      <x:c r="T38" s="45" t="n">
        <x:v>3791392</x:v>
      </x:c>
      <x:c r="U38" s="45" t="n">
        <x:v>3314600</x:v>
      </x:c>
      <x:c r="V38" s="6" t="str">
        <x:v>All fixed-support Cropland pixels are eligible</x:v>
      </x:c>
    </x:row>
    <x:row r="39">
      <x:c r="A39" s="6" t="str">
        <x:v>Rice-reference relative index · rice raw min/max</x:v>
      </x:c>
      <x:c r="B39" s="6" t="str">
        <x:v>Full Cropland AOI</x:v>
      </x:c>
      <x:c r="C39" s="6" t="str">
        <x:v>P90</x:v>
      </x:c>
      <x:c r="D39" s="6" t="str">
        <x:v>2023–2024 Dry core</x:v>
      </x:c>
      <x:c r="E39" s="6" t="str">
        <x:v>Dry core</x:v>
      </x:c>
      <x:c r="F39" s="7" t="n">
        <x:v>0.0621</x:v>
      </x:c>
      <x:c r="G39" s="6" t="str">
        <x:v>2023-12-01</x:v>
      </x:c>
      <x:c r="H39" s="6" t="str">
        <x:v>2024-05-01</x:v>
      </x:c>
      <x:c r="I39" s="41" t="n">
        <x:v>8</x:v>
      </x:c>
      <x:c r="J39" s="42" t="n">
        <x:v>121858.67</x:v>
      </x:c>
      <x:c r="K39" s="42" t="n">
        <x:v>121858.67</x:v>
      </x:c>
      <x:c r="L39" s="43" t="n">
        <x:v>0</x:v>
      </x:c>
      <x:c r="M39" s="10" t="n">
        <x:v>93.4078469755168</x:v>
      </x:c>
      <x:c r="N39" s="10" t="n">
        <x:v>5.74357983719993</x:v>
      </x:c>
      <x:c r="O39" s="10" t="n">
        <x:v>0.7616528228972136</x:v>
      </x:c>
      <x:c r="P39" s="10" t="n">
        <x:v>0.08692036438605476</x:v>
      </x:c>
      <x:c r="Q39" s="10" t="n">
        <x:v>0.8485731872832684</x:v>
      </x:c>
      <x:c r="R39" s="44" t="n">
        <x:v>0.07535179893232054</x:v>
      </x:c>
      <x:c r="S39" s="44" t="n">
        <x:v>0.5828701396461984</x:v>
      </x:c>
      <x:c r="T39" s="45" t="n">
        <x:v>3789638</x:v>
      </x:c>
      <x:c r="U39" s="45" t="n">
        <x:v>3313140</x:v>
      </x:c>
      <x:c r="V39" s="6" t="str">
        <x:v>All fixed-support Cropland pixels are eligible</x:v>
      </x:c>
    </x:row>
    <x:row r="40">
      <x:c r="A40" s="6" t="str">
        <x:v>Experimental Lovell WI · QC rice P1/P99</x:v>
      </x:c>
      <x:c r="B40" s="6" t="str">
        <x:v>Full Cropland AOI</x:v>
      </x:c>
      <x:c r="C40" s="6" t="str">
        <x:v>P90</x:v>
      </x:c>
      <x:c r="D40" s="6" t="str">
        <x:v>2024 Wet core</x:v>
      </x:c>
      <x:c r="E40" s="6" t="str">
        <x:v>Wet core</x:v>
      </x:c>
      <x:c r="F40" s="7" t="n">
        <x:v>4.697</x:v>
      </x:c>
      <x:c r="G40" s="6" t="str">
        <x:v>2024-05-01</x:v>
      </x:c>
      <x:c r="H40" s="6" t="str">
        <x:v>2024-11-01</x:v>
      </x:c>
      <x:c r="I40" s="41" t="n">
        <x:v>14</x:v>
      </x:c>
      <x:c r="J40" s="42" t="n">
        <x:v>121858.67</x:v>
      </x:c>
      <x:c r="K40" s="42" t="n">
        <x:v>121743.35</x:v>
      </x:c>
      <x:c r="L40" s="43" t="n">
        <x:v>0.000946342184762069</x:v>
      </x:c>
      <x:c r="M40" s="10" t="n">
        <x:v>60.31877716524147</x:v>
      </x:c>
      <x:c r="N40" s="10" t="n">
        <x:v>24.2130268306236</x:v>
      </x:c>
      <x:c r="O40" s="10" t="n">
        <x:v>6.109565738087542</x:v>
      </x:c>
      <x:c r="P40" s="10" t="n">
        <x:v>9.358630266047387</x:v>
      </x:c>
      <x:c r="Q40" s="10" t="n">
        <x:v>15.468196004134928</x:v>
      </x:c>
      <x:c r="R40" s="44" t="n">
        <x:v>0.700213769376315</x:v>
      </x:c>
      <x:c r="S40" s="44" t="n">
        <x:v>1.3774189719602754</x:v>
      </x:c>
      <x:c r="T40" s="45" t="n">
        <x:v>7765126</x:v>
      </x:c>
      <x:c r="U40" s="45" t="n">
        <x:v>9004034</x:v>
      </x:c>
      <x:c r="V40" s="6" t="str">
        <x:v>Percent reversal groups use eligible pixels; insufficient share uses full domain</x:v>
      </x:c>
    </x:row>
    <x:row r="41">
      <x:c r="A41" s="6" t="str">
        <x:v>Production relative index · Cropland min/max</x:v>
      </x:c>
      <x:c r="B41" s="6" t="str">
        <x:v>Full Cropland AOI</x:v>
      </x:c>
      <x:c r="C41" s="6" t="str">
        <x:v>P90</x:v>
      </x:c>
      <x:c r="D41" s="6" t="str">
        <x:v>2024 Wet core</x:v>
      </x:c>
      <x:c r="E41" s="6" t="str">
        <x:v>Wet core</x:v>
      </x:c>
      <x:c r="F41" s="7" t="n">
        <x:v>0.0588</x:v>
      </x:c>
      <x:c r="G41" s="6" t="str">
        <x:v>2024-05-01</x:v>
      </x:c>
      <x:c r="H41" s="6" t="str">
        <x:v>2024-11-01</x:v>
      </x:c>
      <x:c r="I41" s="41" t="n">
        <x:v>14</x:v>
      </x:c>
      <x:c r="J41" s="42" t="n">
        <x:v>121858.67</x:v>
      </x:c>
      <x:c r="K41" s="42" t="n">
        <x:v>121858.67</x:v>
      </x:c>
      <x:c r="L41" s="43" t="n">
        <x:v>0</x:v>
      </x:c>
      <x:c r="M41" s="10" t="n">
        <x:v>64.09406897350841</x:v>
      </x:c>
      <x:c r="N41" s="10" t="n">
        <x:v>23.774451173642383</x:v>
      </x:c>
      <x:c r="O41" s="10" t="n">
        <x:v>8.497885296138552</x:v>
      </x:c>
      <x:c r="P41" s="10" t="n">
        <x:v>3.633594556710655</x:v>
      </x:c>
      <x:c r="Q41" s="10" t="n">
        <x:v>12.131479852849207</x:v>
      </x:c>
      <x:c r="R41" s="44" t="n">
        <x:v>0.5277368446578319</x:v>
      </x:c>
      <x:c r="S41" s="44" t="n">
        <x:v>1.393913129037105</x:v>
      </x:c>
      <x:c r="T41" s="45" t="n">
        <x:v>7608500</x:v>
      </x:c>
      <x:c r="U41" s="45" t="n">
        <x:v>9377540</x:v>
      </x:c>
      <x:c r="V41" s="6" t="str">
        <x:v>All fixed-support Cropland pixels are eligible</x:v>
      </x:c>
    </x:row>
    <x:row r="42">
      <x:c r="A42" s="6" t="str">
        <x:v>Rice-reference relative index · rice raw min/max</x:v>
      </x:c>
      <x:c r="B42" s="6" t="str">
        <x:v>Full Cropland AOI</x:v>
      </x:c>
      <x:c r="C42" s="6" t="str">
        <x:v>P90</x:v>
      </x:c>
      <x:c r="D42" s="6" t="str">
        <x:v>2024 Wet core</x:v>
      </x:c>
      <x:c r="E42" s="6" t="str">
        <x:v>Wet core</x:v>
      </x:c>
      <x:c r="F42" s="7" t="n">
        <x:v>0.0621</x:v>
      </x:c>
      <x:c r="G42" s="6" t="str">
        <x:v>2024-05-01</x:v>
      </x:c>
      <x:c r="H42" s="6" t="str">
        <x:v>2024-11-01</x:v>
      </x:c>
      <x:c r="I42" s="41" t="n">
        <x:v>14</x:v>
      </x:c>
      <x:c r="J42" s="42" t="n">
        <x:v>121858.67</x:v>
      </x:c>
      <x:c r="K42" s="42" t="n">
        <x:v>121858.67</x:v>
      </x:c>
      <x:c r="L42" s="43" t="n">
        <x:v>0</x:v>
      </x:c>
      <x:c r="M42" s="10" t="n">
        <x:v>64.10901251425113</x:v>
      </x:c>
      <x:c r="N42" s="10" t="n">
        <x:v>23.767984666171067</x:v>
      </x:c>
      <x:c r="O42" s="10" t="n">
        <x:v>8.49267434151382</x:v>
      </x:c>
      <x:c r="P42" s="10" t="n">
        <x:v>3.6303284780639737</x:v>
      </x:c>
      <x:c r="Q42" s="10" t="n">
        <x:v>12.123002819577794</x:v>
      </x:c>
      <x:c r="R42" s="44" t="n">
        <x:v>0.5274565199177047</x:v>
      </x:c>
      <x:c r="S42" s="44" t="n">
        <x:v>1.3933845659073745</x:v>
      </x:c>
      <x:c r="T42" s="45" t="n">
        <x:v>7605638</x:v>
      </x:c>
      <x:c r="U42" s="45" t="n">
        <x:v>9373961</x:v>
      </x:c>
      <x:c r="V42" s="6" t="str">
        <x:v>All fixed-support Cropland pixels are eligible</x:v>
      </x:c>
    </x:row>
    <x:row r="43">
      <x:c r="A43" s="6" t="str">
        <x:v>Experimental Lovell WI · QC rice P1/P99</x:v>
      </x:c>
      <x:c r="B43" s="6" t="str">
        <x:v>Full Cropland AOI</x:v>
      </x:c>
      <x:c r="C43" s="6" t="str">
        <x:v>P90</x:v>
      </x:c>
      <x:c r="D43" s="6" t="str">
        <x:v>2024 November transition</x:v>
      </x:c>
      <x:c r="E43" s="6" t="str">
        <x:v>November transition</x:v>
      </x:c>
      <x:c r="F43" s="7" t="n">
        <x:v>4.697</x:v>
      </x:c>
      <x:c r="G43" s="6" t="str">
        <x:v>2024-11-01</x:v>
      </x:c>
      <x:c r="H43" s="6" t="str">
        <x:v>2024-12-01</x:v>
      </x:c>
      <x:c r="I43" s="41" t="n">
        <x:v>1</x:v>
      </x:c>
      <x:c r="J43" s="42" t="n">
        <x:v>121858.67</x:v>
      </x:c>
      <x:c r="K43" s="42" t="n">
        <x:v>0</x:v>
      </x:c>
      <x:c r="L43" s="43" t="n">
        <x:v>1</x:v>
      </x:c>
      <x:c r="M43" s="10"/>
      <x:c r="N43" s="10"/>
      <x:c r="O43" s="10"/>
      <x:c r="P43" s="10"/>
      <x:c r="Q43" s="10"/>
      <x:c r="R43" s="44"/>
      <x:c r="S43" s="44"/>
      <x:c r="T43" s="45" t="n">
        <x:v>1171298</x:v>
      </x:c>
      <x:c r="U43" s="45" t="n">
        <x:v>819545</x:v>
      </x:c>
      <x:c r="V43" s="6" t="str">
        <x:v>Percent reversal groups use eligible pixels; insufficient share uses full domain</x:v>
      </x:c>
    </x:row>
    <x:row r="44">
      <x:c r="A44" s="6" t="str">
        <x:v>Production relative index · Cropland min/max</x:v>
      </x:c>
      <x:c r="B44" s="6" t="str">
        <x:v>Full Cropland AOI</x:v>
      </x:c>
      <x:c r="C44" s="6" t="str">
        <x:v>P90</x:v>
      </x:c>
      <x:c r="D44" s="6" t="str">
        <x:v>2024 November transition</x:v>
      </x:c>
      <x:c r="E44" s="6" t="str">
        <x:v>November transition</x:v>
      </x:c>
      <x:c r="F44" s="7" t="n">
        <x:v>0.0588</x:v>
      </x:c>
      <x:c r="G44" s="6" t="str">
        <x:v>2024-11-01</x:v>
      </x:c>
      <x:c r="H44" s="6" t="str">
        <x:v>2024-12-01</x:v>
      </x:c>
      <x:c r="I44" s="41" t="n">
        <x:v>1</x:v>
      </x:c>
      <x:c r="J44" s="42" t="n">
        <x:v>121858.67</x:v>
      </x:c>
      <x:c r="K44" s="42" t="n">
        <x:v>121858.67</x:v>
      </x:c>
      <x:c r="L44" s="43" t="n">
        <x:v>0</x:v>
      </x:c>
      <x:c r="M44" s="10" t="n">
        <x:v>100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44" t="n">
        <x:v>0</x:v>
      </x:c>
      <x:c r="S44" s="44" t="n">
        <x:v>0.13342653419736158</x:v>
      </x:c>
      <x:c r="T44" s="45" t="n">
        <x:v>1225155</x:v>
      </x:c>
      <x:c r="U44" s="45" t="n">
        <x:v>400763</x:v>
      </x:c>
      <x:c r="V44" s="6" t="str">
        <x:v>All fixed-support Cropland pixels are eligible</x:v>
      </x:c>
    </x:row>
    <x:row r="45">
      <x:c r="A45" s="6" t="str">
        <x:v>Rice-reference relative index · rice raw min/max</x:v>
      </x:c>
      <x:c r="B45" s="6" t="str">
        <x:v>Full Cropland AOI</x:v>
      </x:c>
      <x:c r="C45" s="6" t="str">
        <x:v>P90</x:v>
      </x:c>
      <x:c r="D45" s="6" t="str">
        <x:v>2024 November transition</x:v>
      </x:c>
      <x:c r="E45" s="6" t="str">
        <x:v>November transition</x:v>
      </x:c>
      <x:c r="F45" s="7" t="n">
        <x:v>0.0621</x:v>
      </x:c>
      <x:c r="G45" s="6" t="str">
        <x:v>2024-11-01</x:v>
      </x:c>
      <x:c r="H45" s="6" t="str">
        <x:v>2024-12-01</x:v>
      </x:c>
      <x:c r="I45" s="41" t="n">
        <x:v>1</x:v>
      </x:c>
      <x:c r="J45" s="42" t="n">
        <x:v>121858.67</x:v>
      </x:c>
      <x:c r="K45" s="42" t="n">
        <x:v>121858.67</x:v>
      </x:c>
      <x:c r="L45" s="43" t="n">
        <x:v>0</x:v>
      </x:c>
      <x:c r="M45" s="10" t="n">
        <x:v>100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44" t="n">
        <x:v>0</x:v>
      </x:c>
      <x:c r="S45" s="44" t="n">
        <x:v>0.13338624161908216</x:v>
      </x:c>
      <x:c r="T45" s="45" t="n">
        <x:v>1224842</x:v>
      </x:c>
      <x:c r="U45" s="45" t="n">
        <x:v>400585</x:v>
      </x:c>
      <x:c r="V45" s="6" t="str">
        <x:v>All fixed-support Cropland pixels are eligible</x:v>
      </x:c>
    </x:row>
    <x:row r="46">
      <x:c r="A46" s="6" t="str">
        <x:v>Experimental Lovell WI · QC rice P1/P99</x:v>
      </x:c>
      <x:c r="B46" s="6" t="str">
        <x:v>Full Cropland AOI</x:v>
      </x:c>
      <x:c r="C46" s="6" t="str">
        <x:v>P90</x:v>
      </x:c>
      <x:c r="D46" s="6" t="str">
        <x:v>2024–2025 Dry core</x:v>
      </x:c>
      <x:c r="E46" s="6" t="str">
        <x:v>Dry core</x:v>
      </x:c>
      <x:c r="F46" s="7" t="n">
        <x:v>4.697</x:v>
      </x:c>
      <x:c r="G46" s="6" t="str">
        <x:v>2024-12-01</x:v>
      </x:c>
      <x:c r="H46" s="6" t="str">
        <x:v>2025-05-01</x:v>
      </x:c>
      <x:c r="I46" s="41" t="n">
        <x:v>12</x:v>
      </x:c>
      <x:c r="J46" s="42" t="n">
        <x:v>121858.67</x:v>
      </x:c>
      <x:c r="K46" s="42" t="n">
        <x:v>121682.87</x:v>
      </x:c>
      <x:c r="L46" s="43" t="n">
        <x:v>0.00144265483941356</x:v>
      </x:c>
      <x:c r="M46" s="10" t="n">
        <x:v>67.25326251755897</x:v>
      </x:c>
      <x:c r="N46" s="10" t="n">
        <x:v>22.479778788912522</x:v>
      </x:c>
      <x:c r="O46" s="10" t="n">
        <x:v>3.816305450389196</x:v>
      </x:c>
      <x:c r="P46" s="10" t="n">
        <x:v>6.4506532431393175</x:v>
      </x:c>
      <x:c r="Q46" s="10" t="n">
        <x:v>10.266958693528514</x:v>
      </x:c>
      <x:c r="R46" s="44" t="n">
        <x:v>0.5207293351973042</x:v>
      </x:c>
      <x:c r="S46" s="44" t="n">
        <x:v>1.084908171544606</x:v>
      </x:c>
      <x:c r="T46" s="45" t="n">
        <x:v>6924782</x:v>
      </x:c>
      <x:c r="U46" s="45" t="n">
        <x:v>6276692</x:v>
      </x:c>
      <x:c r="V46" s="6" t="str">
        <x:v>Percent reversal groups use eligible pixels; insufficient share uses full domain</x:v>
      </x:c>
    </x:row>
    <x:row r="47">
      <x:c r="A47" s="6" t="str">
        <x:v>Production relative index · Cropland min/max</x:v>
      </x:c>
      <x:c r="B47" s="6" t="str">
        <x:v>Full Cropland AOI</x:v>
      </x:c>
      <x:c r="C47" s="6" t="str">
        <x:v>P90</x:v>
      </x:c>
      <x:c r="D47" s="6" t="str">
        <x:v>2024–2025 Dry core</x:v>
      </x:c>
      <x:c r="E47" s="6" t="str">
        <x:v>Dry core</x:v>
      </x:c>
      <x:c r="F47" s="7" t="n">
        <x:v>0.0588</x:v>
      </x:c>
      <x:c r="G47" s="6" t="str">
        <x:v>2024-12-01</x:v>
      </x:c>
      <x:c r="H47" s="6" t="str">
        <x:v>2025-05-01</x:v>
      </x:c>
      <x:c r="I47" s="41" t="n">
        <x:v>12</x:v>
      </x:c>
      <x:c r="J47" s="42" t="n">
        <x:v>121858.67</x:v>
      </x:c>
      <x:c r="K47" s="42" t="n">
        <x:v>121858.67</x:v>
      </x:c>
      <x:c r="L47" s="43" t="n">
        <x:v>0</x:v>
      </x:c>
      <x:c r="M47" s="10" t="n">
        <x:v>76.98909728786634</x:v>
      </x:c>
      <x:c r="N47" s="10" t="n">
        <x:v>16.463104348668832</x:v>
      </x:c>
      <x:c r="O47" s="10" t="n">
        <x:v>4.728625382174284</x:v>
      </x:c>
      <x:c r="P47" s="10" t="n">
        <x:v>1.8191729812905393</x:v>
      </x:c>
      <x:c r="Q47" s="10" t="n">
        <x:v>6.547798363464824</x:v>
      </x:c>
      <x:c r="R47" s="44" t="n">
        <x:v>0.31879036592144</x:v>
      </x:c>
      <x:c r="S47" s="44" t="n">
        <x:v>1.0048104086479854</x:v>
      </x:c>
      <x:c r="T47" s="45" t="n">
        <x:v>6045613</x:v>
      </x:c>
      <x:c r="U47" s="45" t="n">
        <x:v>6198873</x:v>
      </x:c>
      <x:c r="V47" s="6" t="str">
        <x:v>All fixed-support Cropland pixels are eligible</x:v>
      </x:c>
    </x:row>
    <x:row r="48">
      <x:c r="A48" s="6" t="str">
        <x:v>Rice-reference relative index · rice raw min/max</x:v>
      </x:c>
      <x:c r="B48" s="6" t="str">
        <x:v>Full Cropland AOI</x:v>
      </x:c>
      <x:c r="C48" s="6" t="str">
        <x:v>P90</x:v>
      </x:c>
      <x:c r="D48" s="6" t="str">
        <x:v>2024–2025 Dry core</x:v>
      </x:c>
      <x:c r="E48" s="6" t="str">
        <x:v>Dry core</x:v>
      </x:c>
      <x:c r="F48" s="7" t="n">
        <x:v>0.0621</x:v>
      </x:c>
      <x:c r="G48" s="6" t="str">
        <x:v>2024-12-01</x:v>
      </x:c>
      <x:c r="H48" s="6" t="str">
        <x:v>2025-05-01</x:v>
      </x:c>
      <x:c r="I48" s="41" t="n">
        <x:v>12</x:v>
      </x:c>
      <x:c r="J48" s="42" t="n">
        <x:v>121858.67</x:v>
      </x:c>
      <x:c r="K48" s="42" t="n">
        <x:v>121858.67</x:v>
      </x:c>
      <x:c r="L48" s="43" t="n">
        <x:v>0</x:v>
      </x:c>
      <x:c r="M48" s="10" t="n">
        <x:v>77.00088963715098</x:v>
      </x:c>
      <x:c r="N48" s="10" t="n">
        <x:v>16.45653116023669</x:v>
      </x:c>
      <x:c r="O48" s="10" t="n">
        <x:v>4.724990023278607</x:v>
      </x:c>
      <x:c r="P48" s="10" t="n">
        <x:v>1.8175891793337315</x:v>
      </x:c>
      <x:c r="Q48" s="10" t="n">
        <x:v>6.5425792026123375</x:v>
      </x:c>
      <x:c r="R48" s="44" t="n">
        <x:v>0.31859866844107193</x:v>
      </x:c>
      <x:c r="S48" s="44" t="n">
        <x:v>1.0043985380769378</x:v>
      </x:c>
      <x:c r="T48" s="45" t="n">
        <x:v>6042938</x:v>
      </x:c>
      <x:c r="U48" s="45" t="n">
        <x:v>6196529</x:v>
      </x:c>
      <x:c r="V48" s="6" t="str">
        <x:v>All fixed-support Cropland pixels are eligible</x:v>
      </x:c>
    </x:row>
    <x:row r="49">
      <x:c r="A49" s="6" t="str">
        <x:v>Experimental Lovell WI · QC rice P1/P99</x:v>
      </x:c>
      <x:c r="B49" s="6" t="str">
        <x:v>Full Cropland AOI</x:v>
      </x:c>
      <x:c r="C49" s="6" t="str">
        <x:v>P90</x:v>
      </x:c>
      <x:c r="D49" s="6" t="str">
        <x:v>2025 Wet core</x:v>
      </x:c>
      <x:c r="E49" s="6" t="str">
        <x:v>Wet core</x:v>
      </x:c>
      <x:c r="F49" s="7" t="n">
        <x:v>4.697</x:v>
      </x:c>
      <x:c r="G49" s="6" t="str">
        <x:v>2025-05-01</x:v>
      </x:c>
      <x:c r="H49" s="6" t="str">
        <x:v>2025-11-01</x:v>
      </x:c>
      <x:c r="I49" s="41" t="n">
        <x:v>12</x:v>
      </x:c>
      <x:c r="J49" s="42" t="n">
        <x:v>121858.67</x:v>
      </x:c>
      <x:c r="K49" s="42" t="n">
        <x:v>121678.26000000001</x:v>
      </x:c>
      <x:c r="L49" s="43" t="n">
        <x:v>0.0014804855493663275</x:v>
      </x:c>
      <x:c r="M49" s="10" t="n">
        <x:v>62.16338892420059</x:v>
      </x:c>
      <x:c r="N49" s="10" t="n">
        <x:v>25.153441543296232</x:v>
      </x:c>
      <x:c r="O49" s="10" t="n">
        <x:v>7.607858626512246</x:v>
      </x:c>
      <x:c r="P49" s="10" t="n">
        <x:v>5.07531090599093</x:v>
      </x:c>
      <x:c r="Q49" s="10" t="n">
        <x:v>12.683169532503175</x:v>
      </x:c>
      <x:c r="R49" s="44" t="n">
        <x:v>0.5777937652954603</x:v>
      </x:c>
      <x:c r="S49" s="44" t="n">
        <x:v>1.4211102295512772</x:v>
      </x:c>
      <x:c r="T49" s="45" t="n">
        <x:v>8498808</x:v>
      </x:c>
      <x:c r="U49" s="45" t="n">
        <x:v>8793014</x:v>
      </x:c>
      <x:c r="V49" s="6" t="str">
        <x:v>Percent reversal groups use eligible pixels; insufficient share uses full domain</x:v>
      </x:c>
    </x:row>
    <x:row r="50">
      <x:c r="A50" s="6" t="str">
        <x:v>Production relative index · Cropland min/max</x:v>
      </x:c>
      <x:c r="B50" s="6" t="str">
        <x:v>Full Cropland AOI</x:v>
      </x:c>
      <x:c r="C50" s="6" t="str">
        <x:v>P90</x:v>
      </x:c>
      <x:c r="D50" s="6" t="str">
        <x:v>2025 Wet core</x:v>
      </x:c>
      <x:c r="E50" s="6" t="str">
        <x:v>Wet core</x:v>
      </x:c>
      <x:c r="F50" s="7" t="n">
        <x:v>0.0588</x:v>
      </x:c>
      <x:c r="G50" s="6" t="str">
        <x:v>2025-05-01</x:v>
      </x:c>
      <x:c r="H50" s="6" t="str">
        <x:v>2025-11-01</x:v>
      </x:c>
      <x:c r="I50" s="41" t="n">
        <x:v>12</x:v>
      </x:c>
      <x:c r="J50" s="42" t="n">
        <x:v>121858.67</x:v>
      </x:c>
      <x:c r="K50" s="42" t="n">
        <x:v>121858.67</x:v>
      </x:c>
      <x:c r="L50" s="43" t="n">
        <x:v>0</x:v>
      </x:c>
      <x:c r="M50" s="10" t="n">
        <x:v>71.4915483650035</x:v>
      </x:c>
      <x:c r="N50" s="10" t="n">
        <x:v>21.832742799507002</x:v>
      </x:c>
      <x:c r="O50" s="10" t="n">
        <x:v>5.2469799645769974</x:v>
      </x:c>
      <x:c r="P50" s="10" t="n">
        <x:v>1.4287288709125088</x:v>
      </x:c>
      <x:c r="Q50" s="10" t="n">
        <x:v>6.675708835489506</x:v>
      </x:c>
      <x:c r="R50" s="44" t="n">
        <x:v>0.3686065997601976</x:v>
      </x:c>
      <x:c r="S50" s="44" t="n">
        <x:v>1.2473117423651514</x:v>
      </x:c>
      <x:c r="T50" s="45" t="n">
        <x:v>7542100</x:v>
      </x:c>
      <x:c r="U50" s="45" t="n">
        <x:v>7657475</x:v>
      </x:c>
      <x:c r="V50" s="6" t="str">
        <x:v>All fixed-support Cropland pixels are eligible</x:v>
      </x:c>
    </x:row>
    <x:row r="51">
      <x:c r="A51" s="6" t="str">
        <x:v>Rice-reference relative index · rice raw min/max</x:v>
      </x:c>
      <x:c r="B51" s="6" t="str">
        <x:v>Full Cropland AOI</x:v>
      </x:c>
      <x:c r="C51" s="6" t="str">
        <x:v>P90</x:v>
      </x:c>
      <x:c r="D51" s="6" t="str">
        <x:v>2025 Wet core</x:v>
      </x:c>
      <x:c r="E51" s="6" t="str">
        <x:v>Wet core</x:v>
      </x:c>
      <x:c r="F51" s="7" t="n">
        <x:v>0.0621</x:v>
      </x:c>
      <x:c r="G51" s="6" t="str">
        <x:v>2025-05-01</x:v>
      </x:c>
      <x:c r="H51" s="6" t="str">
        <x:v>2025-11-01</x:v>
      </x:c>
      <x:c r="I51" s="41" t="n">
        <x:v>12</x:v>
      </x:c>
      <x:c r="J51" s="42" t="n">
        <x:v>121858.67</x:v>
      </x:c>
      <x:c r="K51" s="42" t="n">
        <x:v>121858.67</x:v>
      </x:c>
      <x:c r="L51" s="43" t="n">
        <x:v>0</x:v>
      </x:c>
      <x:c r="M51" s="10" t="n">
        <x:v>71.50320120841627</x:v>
      </x:c>
      <x:c r="N51" s="10" t="n">
        <x:v>21.82601369274751</x:v>
      </x:c>
      <x:c r="O51" s="10" t="n">
        <x:v>5.243516936464184</x:v>
      </x:c>
      <x:c r="P51" s="10" t="n">
        <x:v>1.4272681623720331</x:v>
      </x:c>
      <x:c r="Q51" s="10" t="n">
        <x:v>6.670785098836218</x:v>
      </x:c>
      <x:c r="R51" s="44" t="n">
        <x:v>0.3684240111926382</x:v>
      </x:c>
      <x:c r="S51" s="44" t="n">
        <x:v>1.2468599074649347</x:v>
      </x:c>
      <x:c r="T51" s="45" t="n">
        <x:v>7539435</x:v>
      </x:c>
      <x:c r="U51" s="45" t="n">
        <x:v>7654634</x:v>
      </x:c>
      <x:c r="V51" s="6" t="str">
        <x:v>All fixed-support Cropland pixels are eligible</x:v>
      </x:c>
    </x:row>
    <x:row r="52">
      <x:c r="A52" s="6" t="str">
        <x:v>Experimental Lovell WI · QC rice P1/P99</x:v>
      </x:c>
      <x:c r="B52" s="6" t="str">
        <x:v>Full Cropland AOI</x:v>
      </x:c>
      <x:c r="C52" s="6" t="str">
        <x:v>P90</x:v>
      </x:c>
      <x:c r="D52" s="6" t="str">
        <x:v>2025 November transition</x:v>
      </x:c>
      <x:c r="E52" s="6" t="str">
        <x:v>November transition</x:v>
      </x:c>
      <x:c r="F52" s="7" t="n">
        <x:v>4.697</x:v>
      </x:c>
      <x:c r="G52" s="6" t="str">
        <x:v>2025-11-01</x:v>
      </x:c>
      <x:c r="H52" s="6" t="str">
        <x:v>2025-12-01</x:v>
      </x:c>
      <x:c r="I52" s="41" t="n">
        <x:v>2</x:v>
      </x:c>
      <x:c r="J52" s="42" t="n">
        <x:v>121858.67</x:v>
      </x:c>
      <x:c r="K52" s="42" t="n">
        <x:v>105634.02</x:v>
      </x:c>
      <x:c r="L52" s="43" t="n">
        <x:v>0.13314317315296484</x:v>
      </x:c>
      <x:c r="M52" s="10" t="n">
        <x:v>90.01312266635313</x:v>
      </x:c>
      <x:c r="N52" s="10" t="n">
        <x:v>9.986877333646868</x:v>
      </x:c>
      <x:c r="O52" s="10" t="n">
        <x:v>0</x:v>
      </x:c>
      <x:c r="P52" s="10" t="n">
        <x:v>0</x:v>
      </x:c>
      <x:c r="Q52" s="10" t="n">
        <x:v>0</x:v>
      </x:c>
      <x:c r="R52" s="44" t="n">
        <x:v>0.09986877333646868</x:v>
      </x:c>
      <x:c r="S52" s="44" t="n">
        <x:v>0.430636645277724</x:v>
      </x:c>
      <x:c r="T52" s="45" t="n">
        <x:v>2457769</x:v>
      </x:c>
      <x:c r="U52" s="45" t="n">
        <x:v>2091219</x:v>
      </x:c>
      <x:c r="V52" s="6" t="str">
        <x:v>Percent reversal groups use eligible pixels; insufficient share uses full domain</x:v>
      </x:c>
    </x:row>
    <x:row r="53">
      <x:c r="A53" s="6" t="str">
        <x:v>Production relative index · Cropland min/max</x:v>
      </x:c>
      <x:c r="B53" s="6" t="str">
        <x:v>Full Cropland AOI</x:v>
      </x:c>
      <x:c r="C53" s="6" t="str">
        <x:v>P90</x:v>
      </x:c>
      <x:c r="D53" s="6" t="str">
        <x:v>2025 November transition</x:v>
      </x:c>
      <x:c r="E53" s="6" t="str">
        <x:v>November transition</x:v>
      </x:c>
      <x:c r="F53" s="7" t="n">
        <x:v>0.0588</x:v>
      </x:c>
      <x:c r="G53" s="6" t="str">
        <x:v>2025-11-01</x:v>
      </x:c>
      <x:c r="H53" s="6" t="str">
        <x:v>2025-12-01</x:v>
      </x:c>
      <x:c r="I53" s="41" t="n">
        <x:v>2</x:v>
      </x:c>
      <x:c r="J53" s="42" t="n">
        <x:v>121858.67</x:v>
      </x:c>
      <x:c r="K53" s="42" t="n">
        <x:v>121858.67</x:v>
      </x:c>
      <x:c r="L53" s="43" t="n">
        <x:v>0</x:v>
      </x:c>
      <x:c r="M53" s="10" t="n">
        <x:v>98.09496525770386</x:v>
      </x:c>
      <x:c r="N53" s="10" t="n">
        <x:v>1.905034742296137</x:v>
      </x:c>
      <x:c r="O53" s="10" t="n">
        <x:v>0</x:v>
      </x:c>
      <x:c r="P53" s="10" t="n">
        <x:v>0</x:v>
      </x:c>
      <x:c r="Q53" s="10" t="n">
        <x:v>0</x:v>
      </x:c>
      <x:c r="R53" s="44" t="n">
        <x:v>0.01905034742296137</x:v>
      </x:c>
      <x:c r="S53" s="44" t="n">
        <x:v>0.30368220824993414</x:v>
      </x:c>
      <x:c r="T53" s="45" t="n">
        <x:v>3009385</x:v>
      </x:c>
      <x:c r="U53" s="45" t="n">
        <x:v>691246</x:v>
      </x:c>
      <x:c r="V53" s="6" t="str">
        <x:v>All fixed-support Cropland pixels are eligible</x:v>
      </x:c>
    </x:row>
    <x:row r="54">
      <x:c r="A54" s="6" t="str">
        <x:v>Rice-reference relative index · rice raw min/max</x:v>
      </x:c>
      <x:c r="B54" s="6" t="str">
        <x:v>Full Cropland AOI</x:v>
      </x:c>
      <x:c r="C54" s="6" t="str">
        <x:v>P90</x:v>
      </x:c>
      <x:c r="D54" s="6" t="str">
        <x:v>2025 November transition</x:v>
      </x:c>
      <x:c r="E54" s="6" t="str">
        <x:v>November transition</x:v>
      </x:c>
      <x:c r="F54" s="7" t="n">
        <x:v>0.0621</x:v>
      </x:c>
      <x:c r="G54" s="6" t="str">
        <x:v>2025-11-01</x:v>
      </x:c>
      <x:c r="H54" s="6" t="str">
        <x:v>2025-12-01</x:v>
      </x:c>
      <x:c r="I54" s="41" t="n">
        <x:v>2</x:v>
      </x:c>
      <x:c r="J54" s="42" t="n">
        <x:v>121858.67</x:v>
      </x:c>
      <x:c r="K54" s="42" t="n">
        <x:v>121858.67</x:v>
      </x:c>
      <x:c r="L54" s="43" t="n">
        <x:v>0</x:v>
      </x:c>
      <x:c r="M54" s="10" t="n">
        <x:v>98.09594179880676</x:v>
      </x:c>
      <x:c r="N54" s="10" t="n">
        <x:v>1.9040582011932348</x:v>
      </x:c>
      <x:c r="O54" s="10" t="n">
        <x:v>0</x:v>
      </x:c>
      <x:c r="P54" s="10" t="n">
        <x:v>0</x:v>
      </x:c>
      <x:c r="Q54" s="10" t="n">
        <x:v>0</x:v>
      </x:c>
      <x:c r="R54" s="44" t="n">
        <x:v>0.019040582011932348</x:v>
      </x:c>
      <x:c r="S54" s="44" t="n">
        <x:v>0.3036070392036939</x:v>
      </x:c>
      <x:c r="T54" s="45" t="n">
        <x:v>3008796</x:v>
      </x:c>
      <x:c r="U54" s="45" t="n">
        <x:v>690919</x:v>
      </x:c>
      <x:c r="V54" s="6" t="str">
        <x:v>All fixed-support Cropland pixels are eligible</x:v>
      </x:c>
    </x:row>
    <x:row r="55">
      <x:c r="A55" s="6" t="str">
        <x:v>Experimental Lovell WI · QC rice P1/P99</x:v>
      </x:c>
      <x:c r="B55" s="6" t="str">
        <x:v>Historical rice overlap</x:v>
      </x:c>
      <x:c r="C55" s="6" t="str">
        <x:v>P80</x:v>
      </x:c>
      <x:c r="D55" s="6" t="str">
        <x:v>2023 Wet core</x:v>
      </x:c>
      <x:c r="E55" s="6" t="str">
        <x:v>Wet core</x:v>
      </x:c>
      <x:c r="F55" s="7" t="n">
        <x:v>2.5340000000000003</x:v>
      </x:c>
      <x:c r="G55" s="6" t="str">
        <x:v>2023-05-01</x:v>
      </x:c>
      <x:c r="H55" s="6" t="str">
        <x:v>2023-11-01</x:v>
      </x:c>
      <x:c r="I55" s="41" t="n">
        <x:v>14</x:v>
      </x:c>
      <x:c r="J55" s="42" t="n">
        <x:v>67667.47</x:v>
      </x:c>
      <x:c r="K55" s="42" t="n">
        <x:v>67649.69</x:v>
      </x:c>
      <x:c r="L55" s="43" t="n">
        <x:v>0.0002627555012770538</x:v>
      </x:c>
      <x:c r="M55" s="10" t="n">
        <x:v>41.24290887364007</x:v>
      </x:c>
      <x:c r="N55" s="10" t="n">
        <x:v>31.109839527719934</x:v>
      </x:c>
      <x:c r="O55" s="10" t="n">
        <x:v>10.603374531354097</x:v>
      </x:c>
      <x:c r="P55" s="10" t="n">
        <x:v>17.043877067285894</x:v>
      </x:c>
      <x:c r="Q55" s="10" t="n">
        <x:v>27.64725159863999</x:v>
      </x:c>
      <x:c r="R55" s="44" t="n">
        <x:v>1.1341380869594524</x:v>
      </x:c>
      <x:c r="S55" s="44" t="n">
        <x:v>2.1788333398127913</x:v>
      </x:c>
      <x:c r="T55" s="45" t="n">
        <x:v>6997480</x:v>
      </x:c>
      <x:c r="U55" s="45" t="n">
        <x:v>7742260</x:v>
      </x:c>
      <x:c r="V55" s="6" t="str">
        <x:v>Percent reversal groups use eligible pixels; insufficient share uses full domain</x:v>
      </x:c>
    </x:row>
    <x:row r="56">
      <x:c r="A56" s="6" t="str">
        <x:v>Experimental Lovell WI · QC rice P1/P99</x:v>
      </x:c>
      <x:c r="B56" s="6" t="str">
        <x:v>Historical rice overlap</x:v>
      </x:c>
      <x:c r="C56" s="6" t="str">
        <x:v>P80</x:v>
      </x:c>
      <x:c r="D56" s="6" t="str">
        <x:v>2023 November transition</x:v>
      </x:c>
      <x:c r="E56" s="6" t="str">
        <x:v>November transition</x:v>
      </x:c>
      <x:c r="F56" s="7" t="n">
        <x:v>2.5340000000000003</x:v>
      </x:c>
      <x:c r="G56" s="6" t="str">
        <x:v>2023-11-01</x:v>
      </x:c>
      <x:c r="H56" s="6" t="str">
        <x:v>2023-12-01</x:v>
      </x:c>
      <x:c r="I56" s="41" t="n">
        <x:v>2</x:v>
      </x:c>
      <x:c r="J56" s="42" t="n">
        <x:v>67667.47</x:v>
      </x:c>
      <x:c r="K56" s="42" t="n">
        <x:v>60832.04</x:v>
      </x:c>
      <x:c r="L56" s="43" t="n">
        <x:v>0.10101500765434263</x:v>
      </x:c>
      <x:c r="M56" s="10" t="n">
        <x:v>89.24019316136693</x:v>
      </x:c>
      <x:c r="N56" s="10" t="n">
        <x:v>10.759806838633063</x:v>
      </x:c>
      <x:c r="O56" s="10" t="n">
        <x:v>0</x:v>
      </x:c>
      <x:c r="P56" s="10" t="n">
        <x:v>0</x:v>
      </x:c>
      <x:c r="Q56" s="10" t="n">
        <x:v>0</x:v>
      </x:c>
      <x:c r="R56" s="44" t="n">
        <x:v>0.10759806838633063</x:v>
      </x:c>
      <x:c r="S56" s="44" t="n">
        <x:v>0.5957521727037265</x:v>
      </x:c>
      <x:c r="T56" s="45" t="n">
        <x:v>2323941</x:v>
      </x:c>
      <x:c r="U56" s="45" t="n">
        <x:v>1300141</x:v>
      </x:c>
      <x:c r="V56" s="6" t="str">
        <x:v>Percent reversal groups use eligible pixels; insufficient share uses full domain</x:v>
      </x:c>
    </x:row>
    <x:row r="57">
      <x:c r="A57" s="6" t="str">
        <x:v>Experimental Lovell WI · QC rice P1/P99</x:v>
      </x:c>
      <x:c r="B57" s="6" t="str">
        <x:v>Historical rice overlap</x:v>
      </x:c>
      <x:c r="C57" s="6" t="str">
        <x:v>P80</x:v>
      </x:c>
      <x:c r="D57" s="6" t="str">
        <x:v>2023–2024 Dry core</x:v>
      </x:c>
      <x:c r="E57" s="6" t="str">
        <x:v>Dry core</x:v>
      </x:c>
      <x:c r="F57" s="7" t="n">
        <x:v>2.5340000000000003</x:v>
      </x:c>
      <x:c r="G57" s="6" t="str">
        <x:v>2023-12-01</x:v>
      </x:c>
      <x:c r="H57" s="6" t="str">
        <x:v>2024-05-01</x:v>
      </x:c>
      <x:c r="I57" s="41" t="n">
        <x:v>8</x:v>
      </x:c>
      <x:c r="J57" s="42" t="n">
        <x:v>67667.47</x:v>
      </x:c>
      <x:c r="K57" s="42" t="n">
        <x:v>67639.88</x:v>
      </x:c>
      <x:c r="L57" s="43" t="n">
        <x:v>0.00040772914961945524</x:v>
      </x:c>
      <x:c r="M57" s="10" t="n">
        <x:v>78.83205883866145</x:v>
      </x:c>
      <x:c r="N57" s="10" t="n">
        <x:v>16.897974981623268</x:v>
      </x:c>
      <x:c r="O57" s="10" t="n">
        <x:v>2.716903105091257</x:v>
      </x:c>
      <x:c r="P57" s="10" t="n">
        <x:v>1.5530630746240235</x:v>
      </x:c>
      <x:c r="Q57" s="10" t="n">
        <x:v>4.26996617971528</x:v>
      </x:c>
      <x:c r="R57" s="44" t="n">
        <x:v>0.27170095511701087</x:v>
      </x:c>
      <x:c r="S57" s="44" t="n">
        <x:v>0.9787984544029351</x:v>
      </x:c>
      <x:c r="T57" s="45" t="n">
        <x:v>3477366</x:v>
      </x:c>
      <x:c r="U57" s="45" t="n">
        <x:v>3143215</x:v>
      </x:c>
      <x:c r="V57" s="6" t="str">
        <x:v>Percent reversal groups use eligible pixels; insufficient share uses full domain</x:v>
      </x:c>
    </x:row>
    <x:row r="58">
      <x:c r="A58" s="6" t="str">
        <x:v>Experimental Lovell WI · QC rice P1/P99</x:v>
      </x:c>
      <x:c r="B58" s="6" t="str">
        <x:v>Historical rice overlap</x:v>
      </x:c>
      <x:c r="C58" s="6" t="str">
        <x:v>P80</x:v>
      </x:c>
      <x:c r="D58" s="6" t="str">
        <x:v>2024 Wet core</x:v>
      </x:c>
      <x:c r="E58" s="6" t="str">
        <x:v>Wet core</x:v>
      </x:c>
      <x:c r="F58" s="7" t="n">
        <x:v>2.5340000000000003</x:v>
      </x:c>
      <x:c r="G58" s="6" t="str">
        <x:v>2024-05-01</x:v>
      </x:c>
      <x:c r="H58" s="6" t="str">
        <x:v>2024-11-01</x:v>
      </x:c>
      <x:c r="I58" s="41" t="n">
        <x:v>14</x:v>
      </x:c>
      <x:c r="J58" s="42" t="n">
        <x:v>67667.47</x:v>
      </x:c>
      <x:c r="K58" s="42" t="n">
        <x:v>67643.03</x:v>
      </x:c>
      <x:c r="L58" s="43" t="n">
        <x:v>0.00036117797813336306</x:v>
      </x:c>
      <x:c r="M58" s="10" t="n">
        <x:v>37.8594365154843</x:v>
      </x:c>
      <x:c r="N58" s="10" t="n">
        <x:v>28.5627802302765</x:v>
      </x:c>
      <x:c r="O58" s="10" t="n">
        <x:v>13.832822095639418</x:v>
      </x:c>
      <x:c r="P58" s="10" t="n">
        <x:v>19.744961158599786</x:v>
      </x:c>
      <x:c r="Q58" s="10" t="n">
        <x:v>33.57778325423921</x:v>
      </x:c>
      <x:c r="R58" s="44" t="n">
        <x:v>1.2925513537758435</x:v>
      </x:c>
      <x:c r="S58" s="44" t="n">
        <x:v>2.429561626674618</x:v>
      </x:c>
      <x:c r="T58" s="45" t="n">
        <x:v>7522587</x:v>
      </x:c>
      <x:c r="U58" s="45" t="n">
        <x:v>8911704</x:v>
      </x:c>
      <x:c r="V58" s="6" t="str">
        <x:v>Percent reversal groups use eligible pixels; insufficient share uses full domain</x:v>
      </x:c>
    </x:row>
    <x:row r="59">
      <x:c r="A59" s="6" t="str">
        <x:v>Experimental Lovell WI · QC rice P1/P99</x:v>
      </x:c>
      <x:c r="B59" s="6" t="str">
        <x:v>Historical rice overlap</x:v>
      </x:c>
      <x:c r="C59" s="6" t="str">
        <x:v>P80</x:v>
      </x:c>
      <x:c r="D59" s="6" t="str">
        <x:v>2024 November transition</x:v>
      </x:c>
      <x:c r="E59" s="6" t="str">
        <x:v>November transition</x:v>
      </x:c>
      <x:c r="F59" s="7" t="n">
        <x:v>2.5340000000000003</x:v>
      </x:c>
      <x:c r="G59" s="6" t="str">
        <x:v>2024-11-01</x:v>
      </x:c>
      <x:c r="H59" s="6" t="str">
        <x:v>2024-12-01</x:v>
      </x:c>
      <x:c r="I59" s="41" t="n">
        <x:v>1</x:v>
      </x:c>
      <x:c r="J59" s="42" t="n">
        <x:v>67667.47</x:v>
      </x:c>
      <x:c r="K59" s="42" t="n">
        <x:v>0</x:v>
      </x:c>
      <x:c r="L59" s="43" t="n">
        <x:v>1</x:v>
      </x:c>
      <x:c r="M59" s="10"/>
      <x:c r="N59" s="10"/>
      <x:c r="O59" s="10"/>
      <x:c r="P59" s="10"/>
      <x:c r="Q59" s="10"/>
      <x:c r="R59" s="44"/>
      <x:c r="S59" s="44"/>
      <x:c r="T59" s="45" t="n">
        <x:v>1162385</x:v>
      </x:c>
      <x:c r="U59" s="45" t="n">
        <x:v>808985</x:v>
      </x:c>
      <x:c r="V59" s="6" t="str">
        <x:v>Percent reversal groups use eligible pixels; insufficient share uses full domain</x:v>
      </x:c>
    </x:row>
    <x:row r="60">
      <x:c r="A60" s="6" t="str">
        <x:v>Experimental Lovell WI · QC rice P1/P99</x:v>
      </x:c>
      <x:c r="B60" s="6" t="str">
        <x:v>Historical rice overlap</x:v>
      </x:c>
      <x:c r="C60" s="6" t="str">
        <x:v>P80</x:v>
      </x:c>
      <x:c r="D60" s="6" t="str">
        <x:v>2024–2025 Dry core</x:v>
      </x:c>
      <x:c r="E60" s="6" t="str">
        <x:v>Dry core</x:v>
      </x:c>
      <x:c r="F60" s="7" t="n">
        <x:v>2.5340000000000003</x:v>
      </x:c>
      <x:c r="G60" s="6" t="str">
        <x:v>2024-12-01</x:v>
      </x:c>
      <x:c r="H60" s="6" t="str">
        <x:v>2025-05-01</x:v>
      </x:c>
      <x:c r="I60" s="41" t="n">
        <x:v>12</x:v>
      </x:c>
      <x:c r="J60" s="42" t="n">
        <x:v>67667.47</x:v>
      </x:c>
      <x:c r="K60" s="42" t="n">
        <x:v>67617.88</x:v>
      </x:c>
      <x:c r="L60" s="43" t="n">
        <x:v>0.0007328484425381945</x:v>
      </x:c>
      <x:c r="M60" s="10" t="n">
        <x:v>47.5396596284888</x:v>
      </x:c>
      <x:c r="N60" s="10" t="n">
        <x:v>29.450390932102575</x:v>
      </x:c>
      <x:c r="O60" s="10" t="n">
        <x:v>8.917552576330403</x:v>
      </x:c>
      <x:c r="P60" s="10" t="n">
        <x:v>14.092396863078227</x:v>
      </x:c>
      <x:c r="Q60" s="10" t="n">
        <x:v>23.00994943940863</x:v>
      </x:c>
      <x:c r="R60" s="44" t="n">
        <x:v>0.9652903936059516</x:v>
      </x:c>
      <x:c r="S60" s="44" t="n">
        <x:v>1.9146526037196079</x:v>
      </x:c>
      <x:c r="T60" s="45" t="n">
        <x:v>6726668</x:v>
      </x:c>
      <x:c r="U60" s="45" t="n">
        <x:v>6219807</x:v>
      </x:c>
      <x:c r="V60" s="6" t="str">
        <x:v>Percent reversal groups use eligible pixels; insufficient share uses full domain</x:v>
      </x:c>
    </x:row>
    <x:row r="61">
      <x:c r="A61" s="6" t="str">
        <x:v>Experimental Lovell WI · QC rice P1/P99</x:v>
      </x:c>
      <x:c r="B61" s="6" t="str">
        <x:v>Historical rice overlap</x:v>
      </x:c>
      <x:c r="C61" s="6" t="str">
        <x:v>P80</x:v>
      </x:c>
      <x:c r="D61" s="6" t="str">
        <x:v>2025 Wet core</x:v>
      </x:c>
      <x:c r="E61" s="6" t="str">
        <x:v>Wet core</x:v>
      </x:c>
      <x:c r="F61" s="7" t="n">
        <x:v>2.5340000000000003</x:v>
      </x:c>
      <x:c r="G61" s="6" t="str">
        <x:v>2025-05-01</x:v>
      </x:c>
      <x:c r="H61" s="6" t="str">
        <x:v>2025-11-01</x:v>
      </x:c>
      <x:c r="I61" s="41" t="n">
        <x:v>12</x:v>
      </x:c>
      <x:c r="J61" s="42" t="n">
        <x:v>67667.47</x:v>
      </x:c>
      <x:c r="K61" s="42" t="n">
        <x:v>67623.36</x:v>
      </x:c>
      <x:c r="L61" s="43" t="n">
        <x:v>0.0006518641823020722</x:v>
      </x:c>
      <x:c r="M61" s="10" t="n">
        <x:v>41.67163536387426</x:v>
      </x:c>
      <x:c r="N61" s="10" t="n">
        <x:v>32.05208969208274</x:v>
      </x:c>
      <x:c r="O61" s="10" t="n">
        <x:v>14.789963113338349</x:v>
      </x:c>
      <x:c r="P61" s="10" t="n">
        <x:v>11.486311830704656</x:v>
      </x:c>
      <x:c r="Q61" s="10" t="n">
        <x:v>26.276274944043003</x:v>
      </x:c>
      <x:c r="R61" s="44" t="n">
        <x:v>1.0203301048631714</x:v>
      </x:c>
      <x:c r="S61" s="44" t="n">
        <x:v>2.4705616520681613</x:v>
      </x:c>
      <x:c r="T61" s="45" t="n">
        <x:v>8089738</x:v>
      </x:c>
      <x:c r="U61" s="45" t="n">
        <x:v>8617030</x:v>
      </x:c>
      <x:c r="V61" s="6" t="str">
        <x:v>Percent reversal groups use eligible pixels; insufficient share uses full domain</x:v>
      </x:c>
    </x:row>
    <x:row r="62">
      <x:c r="A62" s="6" t="str">
        <x:v>Experimental Lovell WI · QC rice P1/P99</x:v>
      </x:c>
      <x:c r="B62" s="6" t="str">
        <x:v>Historical rice overlap</x:v>
      </x:c>
      <x:c r="C62" s="6" t="str">
        <x:v>P80</x:v>
      </x:c>
      <x:c r="D62" s="6" t="str">
        <x:v>2025 November transition</x:v>
      </x:c>
      <x:c r="E62" s="6" t="str">
        <x:v>November transition</x:v>
      </x:c>
      <x:c r="F62" s="7" t="n">
        <x:v>2.5340000000000003</x:v>
      </x:c>
      <x:c r="G62" s="6" t="str">
        <x:v>2025-11-01</x:v>
      </x:c>
      <x:c r="H62" s="6" t="str">
        <x:v>2025-12-01</x:v>
      </x:c>
      <x:c r="I62" s="41" t="n">
        <x:v>2</x:v>
      </x:c>
      <x:c r="J62" s="42" t="n">
        <x:v>67667.47</x:v>
      </x:c>
      <x:c r="K62" s="42" t="n">
        <x:v>58128.56</x:v>
      </x:c>
      <x:c r="L62" s="43" t="n">
        <x:v>0.14096743974615866</x:v>
      </x:c>
      <x:c r="M62" s="10" t="n">
        <x:v>82.42409583172196</x:v>
      </x:c>
      <x:c r="N62" s="10" t="n">
        <x:v>17.575904168278036</x:v>
      </x:c>
      <x:c r="O62" s="10" t="n">
        <x:v>0</x:v>
      </x:c>
      <x:c r="P62" s="10" t="n">
        <x:v>0</x:v>
      </x:c>
      <x:c r="Q62" s="10" t="n">
        <x:v>0</x:v>
      </x:c>
      <x:c r="R62" s="44" t="n">
        <x:v>0.17575904168278036</x:v>
      </x:c>
      <x:c r="S62" s="44" t="n">
        <x:v>0.765141610251484</x:v>
      </x:c>
      <x:c r="T62" s="45" t="n">
        <x:v>2666218</x:v>
      </x:c>
      <x:c r="U62" s="45" t="n">
        <x:v>1781440</x:v>
      </x:c>
      <x:c r="V62" s="6" t="str">
        <x:v>Percent reversal groups use eligible pixels; insufficient share uses full domain</x:v>
      </x:c>
    </x:row>
    <x:row r="63">
      <x:c r="A63" s="6" t="str">
        <x:v>Experimental Lovell WI · QC rice P1/P99</x:v>
      </x:c>
      <x:c r="B63" s="6" t="str">
        <x:v>Historical rice overlap</x:v>
      </x:c>
      <x:c r="C63" s="6" t="str">
        <x:v>P90</x:v>
      </x:c>
      <x:c r="D63" s="6" t="str">
        <x:v>2023 Wet core</x:v>
      </x:c>
      <x:c r="E63" s="6" t="str">
        <x:v>Wet core</x:v>
      </x:c>
      <x:c r="F63" s="7" t="n">
        <x:v>4.697</x:v>
      </x:c>
      <x:c r="G63" s="6" t="str">
        <x:v>2023-05-01</x:v>
      </x:c>
      <x:c r="H63" s="6" t="str">
        <x:v>2023-11-01</x:v>
      </x:c>
      <x:c r="I63" s="41" t="n">
        <x:v>14</x:v>
      </x:c>
      <x:c r="J63" s="42" t="n">
        <x:v>67667.47</x:v>
      </x:c>
      <x:c r="K63" s="42" t="n">
        <x:v>67649.69</x:v>
      </x:c>
      <x:c r="L63" s="43" t="n">
        <x:v>0.0002627555012770538</x:v>
      </x:c>
      <x:c r="M63" s="10" t="n">
        <x:v>68.26102233432259</x:v>
      </x:c>
      <x:c r="N63" s="10" t="n">
        <x:v>23.817019708442125</x:v>
      </x:c>
      <x:c r="O63" s="10" t="n">
        <x:v>3.287273008937661</x:v>
      </x:c>
      <x:c r="P63" s="10" t="n">
        <x:v>4.63468494829762</x:v>
      </x:c>
      <x:c r="Q63" s="10" t="n">
        <x:v>7.921957957235281</x:v>
      </x:c>
      <x:c r="R63" s="44" t="n">
        <x:v>0.4577558300710617</x:v>
      </x:c>
      <x:c r="S63" s="44" t="n">
        <x:v>0.9861705205153194</x:v>
      </x:c>
      <x:c r="T63" s="45" t="n">
        <x:v>3177544</x:v>
      </x:c>
      <x:c r="U63" s="45" t="n">
        <x:v>3493869</x:v>
      </x:c>
      <x:c r="V63" s="6" t="str">
        <x:v>Percent reversal groups use eligible pixels; insufficient share uses full domain</x:v>
      </x:c>
    </x:row>
    <x:row r="64">
      <x:c r="A64" s="6" t="str">
        <x:v>Experimental Lovell WI · QC rice P1/P99</x:v>
      </x:c>
      <x:c r="B64" s="6" t="str">
        <x:v>Historical rice overlap</x:v>
      </x:c>
      <x:c r="C64" s="6" t="str">
        <x:v>P90</x:v>
      </x:c>
      <x:c r="D64" s="6" t="str">
        <x:v>2023 November transition</x:v>
      </x:c>
      <x:c r="E64" s="6" t="str">
        <x:v>November transition</x:v>
      </x:c>
      <x:c r="F64" s="7" t="n">
        <x:v>4.697</x:v>
      </x:c>
      <x:c r="G64" s="6" t="str">
        <x:v>2023-11-01</x:v>
      </x:c>
      <x:c r="H64" s="6" t="str">
        <x:v>2023-12-01</x:v>
      </x:c>
      <x:c r="I64" s="41" t="n">
        <x:v>2</x:v>
      </x:c>
      <x:c r="J64" s="42" t="n">
        <x:v>67667.47</x:v>
      </x:c>
      <x:c r="K64" s="42" t="n">
        <x:v>60832.04</x:v>
      </x:c>
      <x:c r="L64" s="43" t="n">
        <x:v>0.10101500765434263</x:v>
      </x:c>
      <x:c r="M64" s="10" t="n">
        <x:v>94.50365300917082</x:v>
      </x:c>
      <x:c r="N64" s="10" t="n">
        <x:v>5.496346990829175</x:v>
      </x:c>
      <x:c r="O64" s="10" t="n">
        <x:v>0</x:v>
      </x:c>
      <x:c r="P64" s="10" t="n">
        <x:v>0</x:v>
      </x:c>
      <x:c r="Q64" s="10" t="n">
        <x:v>0</x:v>
      </x:c>
      <x:c r="R64" s="44" t="n">
        <x:v>0.05496346990829175</x:v>
      </x:c>
      <x:c r="S64" s="44" t="n">
        <x:v>0.31002428983147695</x:v>
      </x:c>
      <x:c r="T64" s="45" t="n">
        <x:v>1192632</x:v>
      </x:c>
      <x:c r="U64" s="45" t="n">
        <x:v>693309</x:v>
      </x:c>
      <x:c r="V64" s="6" t="str">
        <x:v>Percent reversal groups use eligible pixels; insufficient share uses full domain</x:v>
      </x:c>
    </x:row>
    <x:row r="65">
      <x:c r="A65" s="6" t="str">
        <x:v>Experimental Lovell WI · QC rice P1/P99</x:v>
      </x:c>
      <x:c r="B65" s="6" t="str">
        <x:v>Historical rice overlap</x:v>
      </x:c>
      <x:c r="C65" s="6" t="str">
        <x:v>P90</x:v>
      </x:c>
      <x:c r="D65" s="6" t="str">
        <x:v>2023–2024 Dry core</x:v>
      </x:c>
      <x:c r="E65" s="6" t="str">
        <x:v>Dry core</x:v>
      </x:c>
      <x:c r="F65" s="7" t="n">
        <x:v>4.697</x:v>
      </x:c>
      <x:c r="G65" s="6" t="str">
        <x:v>2023-12-01</x:v>
      </x:c>
      <x:c r="H65" s="6" t="str">
        <x:v>2024-05-01</x:v>
      </x:c>
      <x:c r="I65" s="41" t="n">
        <x:v>8</x:v>
      </x:c>
      <x:c r="J65" s="42" t="n">
        <x:v>67667.47</x:v>
      </x:c>
      <x:c r="K65" s="42" t="n">
        <x:v>67639.88</x:v>
      </x:c>
      <x:c r="L65" s="43" t="n">
        <x:v>0.00040772914961945524</x:v>
      </x:c>
      <x:c r="M65" s="10" t="n">
        <x:v>90.46243133488706</x:v>
      </x:c>
      <x:c r="N65" s="10" t="n">
        <x:v>8.565597691775917</x:v>
      </x:c>
      <x:c r="O65" s="10" t="n">
        <x:v>0.5969998764042751</x:v>
      </x:c>
      <x:c r="P65" s="10" t="n">
        <x:v>0.37497109693275626</x:v>
      </x:c>
      <x:c r="Q65" s="10" t="n">
        <x:v>0.9719709733370314</x:v>
      </x:c>
      <x:c r="R65" s="44" t="n">
        <x:v>0.10911063118385189</x:v>
      </x:c>
      <x:c r="S65" s="44" t="n">
        <x:v>0.4273789368047371</x:v>
      </x:c>
      <x:c r="T65" s="45" t="n">
        <x:v>1505783</x:v>
      </x:c>
      <x:c r="U65" s="45" t="n">
        <x:v>1385003</x:v>
      </x:c>
      <x:c r="V65" s="6" t="str">
        <x:v>Percent reversal groups use eligible pixels; insufficient share uses full domain</x:v>
      </x:c>
    </x:row>
    <x:row r="66">
      <x:c r="A66" s="6" t="str">
        <x:v>Experimental Lovell WI · QC rice P1/P99</x:v>
      </x:c>
      <x:c r="B66" s="6" t="str">
        <x:v>Historical rice overlap</x:v>
      </x:c>
      <x:c r="C66" s="6" t="str">
        <x:v>P90</x:v>
      </x:c>
      <x:c r="D66" s="6" t="str">
        <x:v>2024 Wet core</x:v>
      </x:c>
      <x:c r="E66" s="6" t="str">
        <x:v>Wet core</x:v>
      </x:c>
      <x:c r="F66" s="7" t="n">
        <x:v>4.697</x:v>
      </x:c>
      <x:c r="G66" s="6" t="str">
        <x:v>2024-05-01</x:v>
      </x:c>
      <x:c r="H66" s="6" t="str">
        <x:v>2024-11-01</x:v>
      </x:c>
      <x:c r="I66" s="41" t="n">
        <x:v>14</x:v>
      </x:c>
      <x:c r="J66" s="42" t="n">
        <x:v>67667.47</x:v>
      </x:c>
      <x:c r="K66" s="42" t="n">
        <x:v>67643.03</x:v>
      </x:c>
      <x:c r="L66" s="43" t="n">
        <x:v>0.00036117797813336306</x:v>
      </x:c>
      <x:c r="M66" s="10" t="n">
        <x:v>64.38460843637549</x:v>
      </x:c>
      <x:c r="N66" s="10" t="n">
        <x:v>24.263682451835763</x:v>
      </x:c>
      <x:c r="O66" s="10" t="n">
        <x:v>5.2499570170053</x:v>
      </x:c>
      <x:c r="P66" s="10" t="n">
        <x:v>6.101752094783453</x:v>
      </x:c>
      <x:c r="Q66" s="10" t="n">
        <x:v>11.351709111788754</x:v>
      </x:c>
      <x:c r="R66" s="44" t="n">
        <x:v>0.5550339776322852</x:v>
      </x:c>
      <x:c r="S66" s="44" t="n">
        <x:v>1.1749745687027917</x:v>
      </x:c>
      <x:c r="T66" s="45" t="n">
        <x:v>3617327</x:v>
      </x:c>
      <x:c r="U66" s="45" t="n">
        <x:v>4330557</x:v>
      </x:c>
      <x:c r="V66" s="6" t="str">
        <x:v>Percent reversal groups use eligible pixels; insufficient share uses full domain</x:v>
      </x:c>
    </x:row>
    <x:row r="67">
      <x:c r="A67" s="6" t="str">
        <x:v>Experimental Lovell WI · QC rice P1/P99</x:v>
      </x:c>
      <x:c r="B67" s="6" t="str">
        <x:v>Historical rice overlap</x:v>
      </x:c>
      <x:c r="C67" s="6" t="str">
        <x:v>P90</x:v>
      </x:c>
      <x:c r="D67" s="6" t="str">
        <x:v>2024 November transition</x:v>
      </x:c>
      <x:c r="E67" s="6" t="str">
        <x:v>November transition</x:v>
      </x:c>
      <x:c r="F67" s="7" t="n">
        <x:v>4.697</x:v>
      </x:c>
      <x:c r="G67" s="6" t="str">
        <x:v>2024-11-01</x:v>
      </x:c>
      <x:c r="H67" s="6" t="str">
        <x:v>2024-12-01</x:v>
      </x:c>
      <x:c r="I67" s="41" t="n">
        <x:v>1</x:v>
      </x:c>
      <x:c r="J67" s="42" t="n">
        <x:v>67667.47</x:v>
      </x:c>
      <x:c r="K67" s="42" t="n">
        <x:v>0</x:v>
      </x:c>
      <x:c r="L67" s="43" t="n">
        <x:v>1</x:v>
      </x:c>
      <x:c r="M67" s="10"/>
      <x:c r="N67" s="10"/>
      <x:c r="O67" s="10"/>
      <x:c r="P67" s="10"/>
      <x:c r="Q67" s="10"/>
      <x:c r="R67" s="44"/>
      <x:c r="S67" s="44"/>
      <x:c r="T67" s="45" t="n">
        <x:v>630501</x:v>
      </x:c>
      <x:c r="U67" s="45" t="n">
        <x:v>465427</x:v>
      </x:c>
      <x:c r="V67" s="6" t="str">
        <x:v>Percent reversal groups use eligible pixels; insufficient share uses full domain</x:v>
      </x:c>
    </x:row>
    <x:row r="68">
      <x:c r="A68" s="6" t="str">
        <x:v>Experimental Lovell WI · QC rice P1/P99</x:v>
      </x:c>
      <x:c r="B68" s="6" t="str">
        <x:v>Historical rice overlap</x:v>
      </x:c>
      <x:c r="C68" s="6" t="str">
        <x:v>P90</x:v>
      </x:c>
      <x:c r="D68" s="6" t="str">
        <x:v>2024–2025 Dry core</x:v>
      </x:c>
      <x:c r="E68" s="6" t="str">
        <x:v>Dry core</x:v>
      </x:c>
      <x:c r="F68" s="7" t="n">
        <x:v>4.697</x:v>
      </x:c>
      <x:c r="G68" s="6" t="str">
        <x:v>2024-12-01</x:v>
      </x:c>
      <x:c r="H68" s="6" t="str">
        <x:v>2025-05-01</x:v>
      </x:c>
      <x:c r="I68" s="41" t="n">
        <x:v>12</x:v>
      </x:c>
      <x:c r="J68" s="42" t="n">
        <x:v>67667.47</x:v>
      </x:c>
      <x:c r="K68" s="42" t="n">
        <x:v>67617.88</x:v>
      </x:c>
      <x:c r="L68" s="43" t="n">
        <x:v>0.0007328484425381945</x:v>
      </x:c>
      <x:c r="M68" s="10" t="n">
        <x:v>71.96427927051248</x:v>
      </x:c>
      <x:c r="N68" s="10" t="n">
        <x:v>21.11129482320357</x:v>
      </x:c>
      <x:c r="O68" s="10" t="n">
        <x:v>2.8566704546193993</x:v>
      </x:c>
      <x:c r="P68" s="10" t="n">
        <x:v>4.06775545166456</x:v>
      </x:c>
      <x:c r="Q68" s="10" t="n">
        <x:v>6.924425906283959</x:v>
      </x:c>
      <x:c r="R68" s="44" t="n">
        <x:v>0.4023166653553764</x:v>
      </x:c>
      <x:c r="S68" s="44" t="n">
        <x:v>0.8843141784391939</x:v>
      </x:c>
      <x:c r="T68" s="45" t="n">
        <x:v>3118931</x:v>
      </x:c>
      <x:c r="U68" s="45" t="n">
        <x:v>2860614</x:v>
      </x:c>
      <x:c r="V68" s="6" t="str">
        <x:v>Percent reversal groups use eligible pixels; insufficient share uses full domain</x:v>
      </x:c>
    </x:row>
    <x:row r="69">
      <x:c r="A69" s="6" t="str">
        <x:v>Experimental Lovell WI · QC rice P1/P99</x:v>
      </x:c>
      <x:c r="B69" s="6" t="str">
        <x:v>Historical rice overlap</x:v>
      </x:c>
      <x:c r="C69" s="6" t="str">
        <x:v>P90</x:v>
      </x:c>
      <x:c r="D69" s="6" t="str">
        <x:v>2025 Wet core</x:v>
      </x:c>
      <x:c r="E69" s="6" t="str">
        <x:v>Wet core</x:v>
      </x:c>
      <x:c r="F69" s="7" t="n">
        <x:v>4.697</x:v>
      </x:c>
      <x:c r="G69" s="6" t="str">
        <x:v>2025-05-01</x:v>
      </x:c>
      <x:c r="H69" s="6" t="str">
        <x:v>2025-11-01</x:v>
      </x:c>
      <x:c r="I69" s="41" t="n">
        <x:v>12</x:v>
      </x:c>
      <x:c r="J69" s="42" t="n">
        <x:v>67667.47</x:v>
      </x:c>
      <x:c r="K69" s="42" t="n">
        <x:v>67623.36</x:v>
      </x:c>
      <x:c r="L69" s="43" t="n">
        <x:v>0.0006518641823020722</x:v>
      </x:c>
      <x:c r="M69" s="10" t="n">
        <x:v>65.48427939694213</x:v>
      </x:c>
      <x:c r="N69" s="10" t="n">
        <x:v>25.424232099676797</x:v>
      </x:c>
      <x:c r="O69" s="10" t="n">
        <x:v>5.966015294123214</x:v>
      </x:c>
      <x:c r="P69" s="10" t="n">
        <x:v>3.125473209257866</x:v>
      </x:c>
      <x:c r="Q69" s="10" t="n">
        <x:v>9.09148850338108</x:v>
      </x:c>
      <x:c r="R69" s="44" t="n">
        <x:v>0.4772047706591332</x:v>
      </x:c>
      <x:c r="S69" s="44" t="n">
        <x:v>1.2415700728269048</x:v>
      </x:c>
      <x:c r="T69" s="45" t="n">
        <x:v>4008557</x:v>
      </x:c>
      <x:c r="U69" s="45" t="n">
        <x:v>4387357</x:v>
      </x:c>
      <x:c r="V69" s="6" t="str">
        <x:v>Percent reversal groups use eligible pixels; insufficient share uses full domain</x:v>
      </x:c>
    </x:row>
    <x:row r="70">
      <x:c r="A70" s="6" t="str">
        <x:v>Experimental Lovell WI · QC rice P1/P99</x:v>
      </x:c>
      <x:c r="B70" s="6" t="str">
        <x:v>Historical rice overlap</x:v>
      </x:c>
      <x:c r="C70" s="6" t="str">
        <x:v>P90</x:v>
      </x:c>
      <x:c r="D70" s="6" t="str">
        <x:v>2025 November transition</x:v>
      </x:c>
      <x:c r="E70" s="6" t="str">
        <x:v>November transition</x:v>
      </x:c>
      <x:c r="F70" s="7" t="n">
        <x:v>4.697</x:v>
      </x:c>
      <x:c r="G70" s="6" t="str">
        <x:v>2025-11-01</x:v>
      </x:c>
      <x:c r="H70" s="6" t="str">
        <x:v>2025-12-01</x:v>
      </x:c>
      <x:c r="I70" s="41" t="n">
        <x:v>2</x:v>
      </x:c>
      <x:c r="J70" s="42" t="n">
        <x:v>67667.47</x:v>
      </x:c>
      <x:c r="K70" s="42" t="n">
        <x:v>58128.56</x:v>
      </x:c>
      <x:c r="L70" s="43" t="n">
        <x:v>0.14096743974615866</x:v>
      </x:c>
      <x:c r="M70" s="10" t="n">
        <x:v>89.80325678117607</x:v>
      </x:c>
      <x:c r="N70" s="10" t="n">
        <x:v>10.196743218823931</x:v>
      </x:c>
      <x:c r="O70" s="10" t="n">
        <x:v>0</x:v>
      </x:c>
      <x:c r="P70" s="10" t="n">
        <x:v>0</x:v>
      </x:c>
      <x:c r="Q70" s="10" t="n">
        <x:v>0</x:v>
      </x:c>
      <x:c r="R70" s="44" t="n">
        <x:v>0.10196743218823931</x:v>
      </x:c>
      <x:c r="S70" s="44" t="n">
        <x:v>0.42491659865649517</x:v>
      </x:c>
      <x:c r="T70" s="45" t="n">
        <x:v>1449058</x:v>
      </x:c>
      <x:c r="U70" s="45" t="n">
        <x:v>1020921</x:v>
      </x:c>
      <x:c r="V70" s="6" t="str">
        <x:v>Percent reversal groups use eligible pixels; insufficient share uses full domain</x:v>
      </x:c>
    </x:row>
  </x:sheetData>
  <x:conditionalFormatting sqref="M7:Q70">
    <x:cfRule type="colorScale" priority="1">
      <x:colorScale>
        <x:cfvo type="min"/>
        <x:cfvo type="percentile" val="50"/>
        <x:cfvo type="max"/>
        <x:color rgb="FFF6F0E3"/>
        <x:color rgb="FFDCEEF7"/>
        <x:color rgb="FF3B82A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dd4d981462444d"/>
  </x:tableParts>
</x:worksheet>
</file>

<file path=xl/worksheets/sheet3.xml><?xml version="1.0" encoding="utf-8"?>
<x:worksheet xmlns:x="http://schemas.openxmlformats.org/spreadsheetml/2006/main">
  <x:sheetPr>
    <x:tabColor rgb="FF2677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7" hidden="0" customWidth="1"/>
    <x:col min="2" max="2" width="14" hidden="0" customWidth="1"/>
    <x:col min="3" max="3" width="10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55" hidden="0" customWidth="1"/>
  </x:cols>
  <x:sheetData>
    <x:row r="2">
      <x:c r="A2" s="48" t="str">
        <x:v>Participating-area spatial statistics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47"/>
      <x:c r="T3" s="47"/>
      <x:c r="U3" s="47"/>
      <x:c r="V3" s="47"/>
    </x:row>
    <x:row r="4">
      <x:c r="A4" s="51" t="str">
        <x:v>Cropland inside supplied MARIIS, UCRIS and MRIS fields, using each system's cropping calendar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</x:row>
    <x:row r="6">
      <x:c r="A6" s="6" t="str">
        <x:v>Version</x:v>
      </x:c>
      <x:c r="B6" s="6" t="str">
        <x:v>Spatial scope</x:v>
      </x:c>
      <x:c r="C6" s="6" t="str">
        <x:v>Threshold</x:v>
      </x:c>
      <x:c r="D6" s="6" t="str">
        <x:v>Window</x:v>
      </x:c>
      <x:c r="E6" s="6" t="str">
        <x:v>Season</x:v>
      </x:c>
      <x:c r="F6" s="6" t="str">
        <x:v>Threshold value</x:v>
      </x:c>
      <x:c r="G6" s="6" t="str">
        <x:v>Start</x:v>
      </x:c>
      <x:c r="H6" s="6" t="str">
        <x:v>End exclusive</x:v>
      </x:c>
      <x:c r="I6" s="6" t="str">
        <x:v>Pairs</x:v>
      </x:c>
      <x:c r="J6" s="6" t="str">
        <x:v>Domain area (ha)</x:v>
      </x:c>
      <x:c r="K6" s="6" t="str">
        <x:v>Eligible area (ha)</x:v>
      </x:c>
      <x:c r="L6" s="6" t="str">
        <x:v>Insufficient (% domain)</x:v>
      </x:c>
      <x:c r="M6" s="6" t="str">
        <x:v>0 reversals (%)</x:v>
      </x:c>
      <x:c r="N6" s="6" t="str">
        <x:v>1 reversal (%)</x:v>
      </x:c>
      <x:c r="O6" s="6" t="str">
        <x:v>2 reversals (%)</x:v>
      </x:c>
      <x:c r="P6" s="6" t="str">
        <x:v>3+ reversals (%)</x:v>
      </x:c>
      <x:c r="Q6" s="6" t="str">
        <x:v>2+ reversals (%)</x:v>
      </x:c>
      <x:c r="R6" s="6" t="str">
        <x:v>Mean reversals</x:v>
      </x:c>
      <x:c r="S6" s="6" t="str">
        <x:v>Mean significant changes</x:v>
      </x:c>
      <x:c r="T6" s="6" t="str">
        <x:v>Positive / wetward-like changes</x:v>
      </x:c>
      <x:c r="U6" s="6" t="str">
        <x:v>Negative / dryward-like changes</x:v>
      </x:c>
      <x:c r="V6" s="6" t="str">
        <x:v>Eligibility note</x:v>
      </x:c>
    </x:row>
    <x:row r="7">
      <x:c r="A7" s="6" t="str">
        <x:v>Experimental Lovell WI · QC rice P1/P99</x:v>
      </x:c>
      <x:c r="B7" s="6" t="str">
        <x:v>MARIIS</x:v>
      </x:c>
      <x:c r="C7" s="6" t="str">
        <x:v>P80</x:v>
      </x:c>
      <x:c r="D7" s="6" t="str">
        <x:v>MARIIS · 2023 Wet</x:v>
      </x:c>
      <x:c r="E7" s="6" t="str">
        <x:v>Wet</x:v>
      </x:c>
      <x:c r="F7" s="7" t="n">
        <x:v>2.5340000000000003</x:v>
      </x:c>
      <x:c r="G7" s="6" t="str">
        <x:v>2023-05-01</x:v>
      </x:c>
      <x:c r="H7" s="6" t="str">
        <x:v>2023-11-01</x:v>
      </x:c>
      <x:c r="I7" s="41" t="n">
        <x:v>14</x:v>
      </x:c>
      <x:c r="J7" s="42" t="n">
        <x:v>24770.79</x:v>
      </x:c>
      <x:c r="K7" s="42" t="n">
        <x:v>24766.31</x:v>
      </x:c>
      <x:c r="L7" s="43" t="n">
        <x:v>0.00018085818013878445</x:v>
      </x:c>
      <x:c r="M7" s="10" t="n">
        <x:v>42.17887121658414</x:v>
      </x:c>
      <x:c r="N7" s="10" t="n">
        <x:v>32.49555545416334</x:v>
      </x:c>
      <x:c r="O7" s="10" t="n">
        <x:v>10.041584717303467</x:v>
      </x:c>
      <x:c r="P7" s="10" t="n">
        <x:v>15.283988611949056</x:v>
      </x:c>
      <x:c r="Q7" s="10" t="n">
        <x:v>25.32557332925252</x:v>
      </x:c>
      <x:c r="R7" s="44" t="n">
        <x:v>1.0591468813884668</x:v>
      </x:c>
      <x:c r="S7" s="44" t="n">
        <x:v>2.062628627357083</x:v>
      </x:c>
      <x:c r="T7" s="45" t="n">
        <x:v>2377673</x:v>
      </x:c>
      <x:c r="U7" s="45" t="n">
        <x:v>2730697</x:v>
      </x:c>
      <x:c r="V7" s="6" t="str">
        <x:v>Percent reversal groups use eligible pixels; insufficient share uses full domain</x:v>
      </x:c>
    </x:row>
    <x:row r="8">
      <x:c r="A8" s="6" t="str">
        <x:v>Production relative index · Cropland min/max</x:v>
      </x:c>
      <x:c r="B8" s="6" t="str">
        <x:v>MARIIS</x:v>
      </x:c>
      <x:c r="C8" s="6" t="str">
        <x:v>P80</x:v>
      </x:c>
      <x:c r="D8" s="6" t="str">
        <x:v>MARIIS · 2023 Wet</x:v>
      </x:c>
      <x:c r="E8" s="6" t="str">
        <x:v>Wet</x:v>
      </x:c>
      <x:c r="F8" s="7" t="n">
        <x:v>0.0443</x:v>
      </x:c>
      <x:c r="G8" s="6" t="str">
        <x:v>2023-05-01</x:v>
      </x:c>
      <x:c r="H8" s="6" t="str">
        <x:v>2023-11-01</x:v>
      </x:c>
      <x:c r="I8" s="41" t="n">
        <x:v>14</x:v>
      </x:c>
      <x:c r="J8" s="42" t="n">
        <x:v>24770.79</x:v>
      </x:c>
      <x:c r="K8" s="42" t="n">
        <x:v>24770.79</x:v>
      </x:c>
      <x:c r="L8" s="43" t="n">
        <x:v>0</x:v>
      </x:c>
      <x:c r="M8" s="10" t="n">
        <x:v>21.494146936775127</x:v>
      </x:c>
      <x:c r="N8" s="10" t="n">
        <x:v>24.810310854034128</x:v>
      </x:c>
      <x:c r="O8" s="10" t="n">
        <x:v>25.763489981546815</x:v>
      </x:c>
      <x:c r="P8" s="10" t="n">
        <x:v>27.93205222764393</x:v>
      </x:c>
      <x:c r="Q8" s="10" t="n">
        <x:v>53.69554220919075</x:v>
      </x:c>
      <x:c r="R8" s="44" t="n">
        <x:v>1.7925056084202402</x:v>
      </x:c>
      <x:c r="S8" s="44" t="n">
        <x:v>3.350087744476458</x:v>
      </x:c>
      <x:c r="T8" s="45" t="n">
        <x:v>3639248</x:v>
      </x:c>
      <x:c r="U8" s="45" t="n">
        <x:v>4659184</x:v>
      </x:c>
      <x:c r="V8" s="6" t="str">
        <x:v>All fixed-support Cropland pixels are eligible</x:v>
      </x:c>
    </x:row>
    <x:row r="9">
      <x:c r="A9" s="6" t="str">
        <x:v>Rice-reference relative index · rice raw min/max</x:v>
      </x:c>
      <x:c r="B9" s="6" t="str">
        <x:v>MARIIS</x:v>
      </x:c>
      <x:c r="C9" s="6" t="str">
        <x:v>P80</x:v>
      </x:c>
      <x:c r="D9" s="6" t="str">
        <x:v>MARIIS · 2023 Wet</x:v>
      </x:c>
      <x:c r="E9" s="6" t="str">
        <x:v>Wet</x:v>
      </x:c>
      <x:c r="F9" s="7" t="n">
        <x:v>0.0468</x:v>
      </x:c>
      <x:c r="G9" s="6" t="str">
        <x:v>2023-05-01</x:v>
      </x:c>
      <x:c r="H9" s="6" t="str">
        <x:v>2023-11-01</x:v>
      </x:c>
      <x:c r="I9" s="41" t="n">
        <x:v>14</x:v>
      </x:c>
      <x:c r="J9" s="42" t="n">
        <x:v>24770.79</x:v>
      </x:c>
      <x:c r="K9" s="42" t="n">
        <x:v>24770.79</x:v>
      </x:c>
      <x:c r="L9" s="43" t="n">
        <x:v>0</x:v>
      </x:c>
      <x:c r="M9" s="10" t="n">
        <x:v>21.53112597539279</x:v>
      </x:c>
      <x:c r="N9" s="10" t="n">
        <x:v>24.82512669155889</x:v>
      </x:c>
      <x:c r="O9" s="10" t="n">
        <x:v>25.761067773777096</x:v>
      </x:c>
      <x:c r="P9" s="10" t="n">
        <x:v>27.88267955927122</x:v>
      </x:c>
      <x:c r="Q9" s="10" t="n">
        <x:v>53.64374733304832</x:v>
      </x:c>
      <x:c r="R9" s="44" t="n">
        <x:v>1.7906166900611566</x:v>
      </x:c>
      <x:c r="S9" s="44" t="n">
        <x:v>3.347479430409769</x:v>
      </x:c>
      <x:c r="T9" s="45" t="n">
        <x:v>3636230</x:v>
      </x:c>
      <x:c r="U9" s="45" t="n">
        <x:v>4655741</x:v>
      </x:c>
      <x:c r="V9" s="6" t="str">
        <x:v>All fixed-support Cropland pixels are eligible</x:v>
      </x:c>
    </x:row>
    <x:row r="10">
      <x:c r="A10" s="6" t="str">
        <x:v>Experimental Lovell WI · QC rice P1/P99</x:v>
      </x:c>
      <x:c r="B10" s="6" t="str">
        <x:v>MARIIS</x:v>
      </x:c>
      <x:c r="C10" s="6" t="str">
        <x:v>P80</x:v>
      </x:c>
      <x:c r="D10" s="6" t="str">
        <x:v>MARIIS · 2023–2024 Dry</x:v>
      </x:c>
      <x:c r="E10" s="6" t="str">
        <x:v>Dry</x:v>
      </x:c>
      <x:c r="F10" s="7" t="n">
        <x:v>2.5340000000000003</x:v>
      </x:c>
      <x:c r="G10" s="6" t="str">
        <x:v>2023-09-01</x:v>
      </x:c>
      <x:c r="H10" s="6" t="str">
        <x:v>2024-03-01</x:v>
      </x:c>
      <x:c r="I10" s="41" t="n">
        <x:v>12</x:v>
      </x:c>
      <x:c r="J10" s="42" t="n">
        <x:v>24770.79</x:v>
      </x:c>
      <x:c r="K10" s="42" t="n">
        <x:v>24764.43</x:v>
      </x:c>
      <x:c r="L10" s="43" t="n">
        <x:v>0.0002567540235898815</x:v>
      </x:c>
      <x:c r="M10" s="10" t="n">
        <x:v>37.94494765274226</x:v>
      </x:c>
      <x:c r="N10" s="10" t="n">
        <x:v>36.21092833551994</x:v>
      </x:c>
      <x:c r="O10" s="10" t="n">
        <x:v>10.775454956968524</x:v>
      </x:c>
      <x:c r="P10" s="10" t="n">
        <x:v>15.06866905476928</x:v>
      </x:c>
      <x:c r="Q10" s="10" t="n">
        <x:v>25.844124011737804</x:v>
      </x:c>
      <x:c r="R10" s="44" t="n">
        <x:v>1.0821040500427428</x:v>
      </x:c>
      <x:c r="S10" s="44" t="n">
        <x:v>2.3251865679928834</x:v>
      </x:c>
      <x:c r="T10" s="45" t="n">
        <x:v>2981044</x:v>
      </x:c>
      <x:c r="U10" s="45" t="n">
        <x:v>2777148</x:v>
      </x:c>
      <x:c r="V10" s="6" t="str">
        <x:v>Percent reversal groups use eligible pixels; insufficient share uses full domain</x:v>
      </x:c>
    </x:row>
    <x:row r="11">
      <x:c r="A11" s="6" t="str">
        <x:v>Production relative index · Cropland min/max</x:v>
      </x:c>
      <x:c r="B11" s="6" t="str">
        <x:v>MARIIS</x:v>
      </x:c>
      <x:c r="C11" s="6" t="str">
        <x:v>P80</x:v>
      </x:c>
      <x:c r="D11" s="6" t="str">
        <x:v>MARIIS · 2023–2024 Dry</x:v>
      </x:c>
      <x:c r="E11" s="6" t="str">
        <x:v>Dry</x:v>
      </x:c>
      <x:c r="F11" s="7" t="n">
        <x:v>0.0443</x:v>
      </x:c>
      <x:c r="G11" s="6" t="str">
        <x:v>2023-09-01</x:v>
      </x:c>
      <x:c r="H11" s="6" t="str">
        <x:v>2024-03-01</x:v>
      </x:c>
      <x:c r="I11" s="41" t="n">
        <x:v>12</x:v>
      </x:c>
      <x:c r="J11" s="42" t="n">
        <x:v>24770.79</x:v>
      </x:c>
      <x:c r="K11" s="42" t="n">
        <x:v>24770.79</x:v>
      </x:c>
      <x:c r="L11" s="43" t="n">
        <x:v>0</x:v>
      </x:c>
      <x:c r="M11" s="10" t="n">
        <x:v>34.40140584938954</x:v>
      </x:c>
      <x:c r="N11" s="10" t="n">
        <x:v>33.90832508773438</x:v>
      </x:c>
      <x:c r="O11" s="10" t="n">
        <x:v>19.02955053108924</x:v>
      </x:c>
      <x:c r="P11" s="10" t="n">
        <x:v>12.660718531786834</x:v>
      </x:c>
      <x:c r="Q11" s="10" t="n">
        <x:v>31.690269062876073</x:v>
      </x:c>
      <x:c r="R11" s="44" t="n">
        <x:v>1.1442505467124786</x:v>
      </x:c>
      <x:c r="S11" s="44" t="n">
        <x:v>2.7179121053466604</x:v>
      </x:c>
      <x:c r="T11" s="45" t="n">
        <x:v>3655413</x:v>
      </x:c>
      <x:c r="U11" s="45" t="n">
        <x:v>3077070</x:v>
      </x:c>
      <x:c r="V11" s="6" t="str">
        <x:v>All fixed-support Cropland pixels are eligible</x:v>
      </x:c>
    </x:row>
    <x:row r="12">
      <x:c r="A12" s="6" t="str">
        <x:v>Rice-reference relative index · rice raw min/max</x:v>
      </x:c>
      <x:c r="B12" s="6" t="str">
        <x:v>MARIIS</x:v>
      </x:c>
      <x:c r="C12" s="6" t="str">
        <x:v>P80</x:v>
      </x:c>
      <x:c r="D12" s="6" t="str">
        <x:v>MARIIS · 2023–2024 Dry</x:v>
      </x:c>
      <x:c r="E12" s="6" t="str">
        <x:v>Dry</x:v>
      </x:c>
      <x:c r="F12" s="7" t="n">
        <x:v>0.0468</x:v>
      </x:c>
      <x:c r="G12" s="6" t="str">
        <x:v>2023-09-01</x:v>
      </x:c>
      <x:c r="H12" s="6" t="str">
        <x:v>2024-03-01</x:v>
      </x:c>
      <x:c r="I12" s="41" t="n">
        <x:v>12</x:v>
      </x:c>
      <x:c r="J12" s="42" t="n">
        <x:v>24770.79</x:v>
      </x:c>
      <x:c r="K12" s="42" t="n">
        <x:v>24770.79</x:v>
      </x:c>
      <x:c r="L12" s="43" t="n">
        <x:v>0</x:v>
      </x:c>
      <x:c r="M12" s="10" t="n">
        <x:v>34.44472299833796</x:v>
      </x:c>
      <x:c r="N12" s="10" t="n">
        <x:v>33.90699287346104</x:v>
      </x:c>
      <x:c r="O12" s="10" t="n">
        <x:v>19.011949154629303</x:v>
      </x:c>
      <x:c r="P12" s="10" t="n">
        <x:v>12.636334973571694</x:v>
      </x:c>
      <x:c r="Q12" s="10" t="n">
        <x:v>31.648284128201</x:v>
      </x:c>
      <x:c r="R12" s="44" t="n">
        <x:v>1.143027735490067</x:v>
      </x:c>
      <x:c r="S12" s="44" t="n">
        <x:v>2.715723640626722</x:v>
      </x:c>
      <x:c r="T12" s="45" t="n">
        <x:v>3652495</x:v>
      </x:c>
      <x:c r="U12" s="45" t="n">
        <x:v>3074567</x:v>
      </x:c>
      <x:c r="V12" s="6" t="str">
        <x:v>All fixed-support Cropland pixels are eligible</x:v>
      </x:c>
    </x:row>
    <x:row r="13">
      <x:c r="A13" s="6" t="str">
        <x:v>Experimental Lovell WI · QC rice P1/P99</x:v>
      </x:c>
      <x:c r="B13" s="6" t="str">
        <x:v>MARIIS</x:v>
      </x:c>
      <x:c r="C13" s="6" t="str">
        <x:v>P80</x:v>
      </x:c>
      <x:c r="D13" s="6" t="str">
        <x:v>MARIIS · 2024 Wet</x:v>
      </x:c>
      <x:c r="E13" s="6" t="str">
        <x:v>Wet</x:v>
      </x:c>
      <x:c r="F13" s="7" t="n">
        <x:v>2.5340000000000003</x:v>
      </x:c>
      <x:c r="G13" s="6" t="str">
        <x:v>2024-05-01</x:v>
      </x:c>
      <x:c r="H13" s="6" t="str">
        <x:v>2024-11-01</x:v>
      </x:c>
      <x:c r="I13" s="41" t="n">
        <x:v>14</x:v>
      </x:c>
      <x:c r="J13" s="42" t="n">
        <x:v>24770.79</x:v>
      </x:c>
      <x:c r="K13" s="42" t="n">
        <x:v>24764.32</x:v>
      </x:c>
      <x:c r="L13" s="43" t="n">
        <x:v>0.0002611947378343606</x:v>
      </x:c>
      <x:c r="M13" s="10" t="n">
        <x:v>38.10292388403962</x:v>
      </x:c>
      <x:c r="N13" s="10" t="n">
        <x:v>29.24578587257797</x:v>
      </x:c>
      <x:c r="O13" s="10" t="n">
        <x:v>14.38238562577127</x:v>
      </x:c>
      <x:c r="P13" s="10" t="n">
        <x:v>18.268904617611145</x:v>
      </x:c>
      <x:c r="Q13" s="10" t="n">
        <x:v>32.65129024338242</x:v>
      </x:c>
      <x:c r="R13" s="44" t="n">
        <x:v>1.2380977955380967</x:v>
      </x:c>
      <x:c r="S13" s="44" t="n">
        <x:v>2.3622074016165193</x:v>
      </x:c>
      <x:c r="T13" s="45" t="n">
        <x:v>2630358</x:v>
      </x:c>
      <x:c r="U13" s="45" t="n">
        <x:v>3219488</x:v>
      </x:c>
      <x:c r="V13" s="6" t="str">
        <x:v>Percent reversal groups use eligible pixels; insufficient share uses full domain</x:v>
      </x:c>
    </x:row>
    <x:row r="14">
      <x:c r="A14" s="6" t="str">
        <x:v>Production relative index · Cropland min/max</x:v>
      </x:c>
      <x:c r="B14" s="6" t="str">
        <x:v>MARIIS</x:v>
      </x:c>
      <x:c r="C14" s="6" t="str">
        <x:v>P80</x:v>
      </x:c>
      <x:c r="D14" s="6" t="str">
        <x:v>MARIIS · 2024 Wet</x:v>
      </x:c>
      <x:c r="E14" s="6" t="str">
        <x:v>Wet</x:v>
      </x:c>
      <x:c r="F14" s="7" t="n">
        <x:v>0.0443</x:v>
      </x:c>
      <x:c r="G14" s="6" t="str">
        <x:v>2024-05-01</x:v>
      </x:c>
      <x:c r="H14" s="6" t="str">
        <x:v>2024-11-01</x:v>
      </x:c>
      <x:c r="I14" s="41" t="n">
        <x:v>14</x:v>
      </x:c>
      <x:c r="J14" s="42" t="n">
        <x:v>24770.79</x:v>
      </x:c>
      <x:c r="K14" s="42" t="n">
        <x:v>24770.79</x:v>
      </x:c>
      <x:c r="L14" s="43" t="n">
        <x:v>0</x:v>
      </x:c>
      <x:c r="M14" s="10" t="n">
        <x:v>26.165253510283684</x:v>
      </x:c>
      <x:c r="N14" s="10" t="n">
        <x:v>30.747424688514172</x:v>
      </x:c>
      <x:c r="O14" s="10" t="n">
        <x:v>21.637904967907765</x:v>
      </x:c>
      <x:c r="P14" s="10" t="n">
        <x:v>21.449416833294375</x:v>
      </x:c>
      <x:c r="Q14" s="10" t="n">
        <x:v>43.087321801202144</x:v>
      </x:c>
      <x:c r="R14" s="44" t="n">
        <x:v>1.4994459199726775</x:v>
      </x:c>
      <x:c r="S14" s="44" t="n">
        <x:v>3.003851714055143</x:v>
      </x:c>
      <x:c r="T14" s="45" t="n">
        <x:v>3287076</x:v>
      </x:c>
      <x:c r="U14" s="45" t="n">
        <x:v>4153702</x:v>
      </x:c>
      <x:c r="V14" s="6" t="str">
        <x:v>All fixed-support Cropland pixels are eligible</x:v>
      </x:c>
    </x:row>
    <x:row r="15">
      <x:c r="A15" s="6" t="str">
        <x:v>Rice-reference relative index · rice raw min/max</x:v>
      </x:c>
      <x:c r="B15" s="6" t="str">
        <x:v>MARIIS</x:v>
      </x:c>
      <x:c r="C15" s="6" t="str">
        <x:v>P80</x:v>
      </x:c>
      <x:c r="D15" s="6" t="str">
        <x:v>MARIIS · 2024 Wet</x:v>
      </x:c>
      <x:c r="E15" s="6" t="str">
        <x:v>Wet</x:v>
      </x:c>
      <x:c r="F15" s="7" t="n">
        <x:v>0.0468</x:v>
      </x:c>
      <x:c r="G15" s="6" t="str">
        <x:v>2024-05-01</x:v>
      </x:c>
      <x:c r="H15" s="6" t="str">
        <x:v>2024-11-01</x:v>
      </x:c>
      <x:c r="I15" s="41" t="n">
        <x:v>14</x:v>
      </x:c>
      <x:c r="J15" s="42" t="n">
        <x:v>24770.79</x:v>
      </x:c>
      <x:c r="K15" s="42" t="n">
        <x:v>24770.79</x:v>
      </x:c>
      <x:c r="L15" s="43" t="n">
        <x:v>0</x:v>
      </x:c>
      <x:c r="M15" s="10" t="n">
        <x:v>26.20739992547674</x:v>
      </x:c>
      <x:c r="N15" s="10" t="n">
        <x:v>30.759495357233256</x:v>
      </x:c>
      <x:c r="O15" s="10" t="n">
        <x:v>21.625713188800194</x:v>
      </x:c>
      <x:c r="P15" s="10" t="n">
        <x:v>21.407391528489807</x:v>
      </x:c>
      <x:c r="Q15" s="10" t="n">
        <x:v>43.03310471729</x:v>
      </x:c>
      <x:c r="R15" s="44" t="n">
        <x:v>1.4977249413522944</x:v>
      </x:c>
      <x:c r="S15" s="44" t="n">
        <x:v>3.001301936676222</x:v>
      </x:c>
      <x:c r="T15" s="45" t="n">
        <x:v>3284271</x:v>
      </x:c>
      <x:c r="U15" s="45" t="n">
        <x:v>4150191</x:v>
      </x:c>
      <x:c r="V15" s="6" t="str">
        <x:v>All fixed-support Cropland pixels are eligible</x:v>
      </x:c>
    </x:row>
    <x:row r="16">
      <x:c r="A16" s="6" t="str">
        <x:v>Experimental Lovell WI · QC rice P1/P99</x:v>
      </x:c>
      <x:c r="B16" s="6" t="str">
        <x:v>MARIIS</x:v>
      </x:c>
      <x:c r="C16" s="6" t="str">
        <x:v>P80</x:v>
      </x:c>
      <x:c r="D16" s="6" t="str">
        <x:v>MARIIS · 2024–2025 Dry</x:v>
      </x:c>
      <x:c r="E16" s="6" t="str">
        <x:v>Dry</x:v>
      </x:c>
      <x:c r="F16" s="7" t="n">
        <x:v>2.5340000000000003</x:v>
      </x:c>
      <x:c r="G16" s="6" t="str">
        <x:v>2024-09-01</x:v>
      </x:c>
      <x:c r="H16" s="6" t="str">
        <x:v>2025-03-01</x:v>
      </x:c>
      <x:c r="I16" s="41" t="n">
        <x:v>14</x:v>
      </x:c>
      <x:c r="J16" s="42" t="n">
        <x:v>24770.79</x:v>
      </x:c>
      <x:c r="K16" s="42" t="n">
        <x:v>24762.350000000002</x:v>
      </x:c>
      <x:c r="L16" s="43" t="n">
        <x:v>0.00034072389294003135</x:v>
      </x:c>
      <x:c r="M16" s="10" t="n">
        <x:v>23.339020731069546</x:v>
      </x:c>
      <x:c r="N16" s="10" t="n">
        <x:v>31.9818191730591</x:v>
      </x:c>
      <x:c r="O16" s="10" t="n">
        <x:v>12.445870444444893</x:v>
      </x:c>
      <x:c r="P16" s="10" t="n">
        <x:v>32.23328965142646</x:v>
      </x:c>
      <x:c r="Q16" s="10" t="n">
        <x:v>44.67916009587135</x:v>
      </x:c>
      <x:c r="R16" s="44" t="n">
        <x:v>1.7707253148428965</x:v>
      </x:c>
      <x:c r="S16" s="44" t="n">
        <x:v>3.205875855886053</x:v>
      </x:c>
      <x:c r="T16" s="45" t="n">
        <x:v>4087091</x:v>
      </x:c>
      <x:c r="U16" s="45" t="n">
        <x:v>3851411</x:v>
      </x:c>
      <x:c r="V16" s="6" t="str">
        <x:v>Percent reversal groups use eligible pixels; insufficient share uses full domain</x:v>
      </x:c>
    </x:row>
    <x:row r="17">
      <x:c r="A17" s="6" t="str">
        <x:v>Production relative index · Cropland min/max</x:v>
      </x:c>
      <x:c r="B17" s="6" t="str">
        <x:v>MARIIS</x:v>
      </x:c>
      <x:c r="C17" s="6" t="str">
        <x:v>P80</x:v>
      </x:c>
      <x:c r="D17" s="6" t="str">
        <x:v>MARIIS · 2024–2025 Dry</x:v>
      </x:c>
      <x:c r="E17" s="6" t="str">
        <x:v>Dry</x:v>
      </x:c>
      <x:c r="F17" s="7" t="n">
        <x:v>0.0443</x:v>
      </x:c>
      <x:c r="G17" s="6" t="str">
        <x:v>2024-09-01</x:v>
      </x:c>
      <x:c r="H17" s="6" t="str">
        <x:v>2025-03-01</x:v>
      </x:c>
      <x:c r="I17" s="41" t="n">
        <x:v>14</x:v>
      </x:c>
      <x:c r="J17" s="42" t="n">
        <x:v>24770.79</x:v>
      </x:c>
      <x:c r="K17" s="42" t="n">
        <x:v>24770.79</x:v>
      </x:c>
      <x:c r="L17" s="43" t="n">
        <x:v>0</x:v>
      </x:c>
      <x:c r="M17" s="10" t="n">
        <x:v>25.574598145638472</x:v>
      </x:c>
      <x:c r="N17" s="10" t="n">
        <x:v>30.361849581704902</x:v>
      </x:c>
      <x:c r="O17" s="10" t="n">
        <x:v>23.862137622578853</x:v>
      </x:c>
      <x:c r="P17" s="10" t="n">
        <x:v>20.201414650077773</x:v>
      </x:c>
      <x:c r="Q17" s="10" t="n">
        <x:v>44.06355227265662</x:v>
      </x:c>
      <x:c r="R17" s="44" t="n">
        <x:v>1.4916221888764953</x:v>
      </x:c>
      <x:c r="S17" s="44" t="n">
        <x:v>2.9302791715564984</x:v>
      </x:c>
      <x:c r="T17" s="45" t="n">
        <x:v>3744538</x:v>
      </x:c>
      <x:c r="U17" s="45" t="n">
        <x:v>3513995</x:v>
      </x:c>
      <x:c r="V17" s="6" t="str">
        <x:v>All fixed-support Cropland pixels are eligible</x:v>
      </x:c>
    </x:row>
    <x:row r="18">
      <x:c r="A18" s="6" t="str">
        <x:v>Rice-reference relative index · rice raw min/max</x:v>
      </x:c>
      <x:c r="B18" s="6" t="str">
        <x:v>MARIIS</x:v>
      </x:c>
      <x:c r="C18" s="6" t="str">
        <x:v>P80</x:v>
      </x:c>
      <x:c r="D18" s="6" t="str">
        <x:v>MARIIS · 2024–2025 Dry</x:v>
      </x:c>
      <x:c r="E18" s="6" t="str">
        <x:v>Dry</x:v>
      </x:c>
      <x:c r="F18" s="7" t="n">
        <x:v>0.0468</x:v>
      </x:c>
      <x:c r="G18" s="6" t="str">
        <x:v>2024-09-01</x:v>
      </x:c>
      <x:c r="H18" s="6" t="str">
        <x:v>2025-03-01</x:v>
      </x:c>
      <x:c r="I18" s="41" t="n">
        <x:v>14</x:v>
      </x:c>
      <x:c r="J18" s="42" t="n">
        <x:v>24770.79</x:v>
      </x:c>
      <x:c r="K18" s="42" t="n">
        <x:v>24770.79</x:v>
      </x:c>
      <x:c r="L18" s="43" t="n">
        <x:v>0</x:v>
      </x:c>
      <x:c r="M18" s="10" t="n">
        <x:v>25.61521049591071</x:v>
      </x:c>
      <x:c r="N18" s="10" t="n">
        <x:v>30.373032107575092</x:v>
      </x:c>
      <x:c r="O18" s="10" t="n">
        <x:v>23.849582512305826</x:v>
      </x:c>
      <x:c r="P18" s="10" t="n">
        <x:v>20.162174884208376</x:v>
      </x:c>
      <x:c r="Q18" s="10" t="n">
        <x:v>44.0117573965142</x:v>
      </x:c>
      <x:c r="R18" s="44" t="n">
        <x:v>1.4900198984368282</x:v>
      </x:c>
      <x:c r="S18" s="44" t="n">
        <x:v>2.927858174890668</x:v>
      </x:c>
      <x:c r="T18" s="45" t="n">
        <x:v>3741498</x:v>
      </x:c>
      <x:c r="U18" s="45" t="n">
        <x:v>3511038</x:v>
      </x:c>
      <x:c r="V18" s="6" t="str">
        <x:v>All fixed-support Cropland pixels are eligible</x:v>
      </x:c>
    </x:row>
    <x:row r="19">
      <x:c r="A19" s="6" t="str">
        <x:v>Experimental Lovell WI · QC rice P1/P99</x:v>
      </x:c>
      <x:c r="B19" s="6" t="str">
        <x:v>MARIIS</x:v>
      </x:c>
      <x:c r="C19" s="6" t="str">
        <x:v>P80</x:v>
      </x:c>
      <x:c r="D19" s="6" t="str">
        <x:v>MARIIS · 2025 Wet</x:v>
      </x:c>
      <x:c r="E19" s="6" t="str">
        <x:v>Wet</x:v>
      </x:c>
      <x:c r="F19" s="7" t="n">
        <x:v>2.5340000000000003</x:v>
      </x:c>
      <x:c r="G19" s="6" t="str">
        <x:v>2025-05-01</x:v>
      </x:c>
      <x:c r="H19" s="6" t="str">
        <x:v>2025-11-01</x:v>
      </x:c>
      <x:c r="I19" s="41" t="n">
        <x:v>12</x:v>
      </x:c>
      <x:c r="J19" s="42" t="n">
        <x:v>24770.79</x:v>
      </x:c>
      <x:c r="K19" s="42" t="n">
        <x:v>24761.63</x:v>
      </x:c>
      <x:c r="L19" s="43" t="n">
        <x:v>0.00036979038617662176</x:v>
      </x:c>
      <x:c r="M19" s="10" t="n">
        <x:v>40.93260419447346</x:v>
      </x:c>
      <x:c r="N19" s="10" t="n">
        <x:v>34.2493608054074</x:v>
      </x:c>
      <x:c r="O19" s="10" t="n">
        <x:v>14.659172275815445</x:v>
      </x:c>
      <x:c r="P19" s="10" t="n">
        <x:v>10.15886272430369</x:v>
      </x:c>
      <x:c r="Q19" s="10" t="n">
        <x:v>24.818035000119135</x:v>
      </x:c>
      <x:c r="R19" s="44" t="n">
        <x:v>0.9855772822709975</x:v>
      </x:c>
      <x:c r="S19" s="44" t="n">
        <x:v>2.437400930391093</x:v>
      </x:c>
      <x:c r="T19" s="45" t="n">
        <x:v>2857347</x:v>
      </x:c>
      <x:c r="U19" s="45" t="n">
        <x:v>3178055</x:v>
      </x:c>
      <x:c r="V19" s="6" t="str">
        <x:v>Percent reversal groups use eligible pixels; insufficient share uses full domain</x:v>
      </x:c>
    </x:row>
    <x:row r="20">
      <x:c r="A20" s="6" t="str">
        <x:v>Production relative index · Cropland min/max</x:v>
      </x:c>
      <x:c r="B20" s="6" t="str">
        <x:v>MARIIS</x:v>
      </x:c>
      <x:c r="C20" s="6" t="str">
        <x:v>P80</x:v>
      </x:c>
      <x:c r="D20" s="6" t="str">
        <x:v>MARIIS · 2025 Wet</x:v>
      </x:c>
      <x:c r="E20" s="6" t="str">
        <x:v>Wet</x:v>
      </x:c>
      <x:c r="F20" s="7" t="n">
        <x:v>0.0443</x:v>
      </x:c>
      <x:c r="G20" s="6" t="str">
        <x:v>2025-05-01</x:v>
      </x:c>
      <x:c r="H20" s="6" t="str">
        <x:v>2025-11-01</x:v>
      </x:c>
      <x:c r="I20" s="41" t="n">
        <x:v>12</x:v>
      </x:c>
      <x:c r="J20" s="42" t="n">
        <x:v>24770.79</x:v>
      </x:c>
      <x:c r="K20" s="42" t="n">
        <x:v>24770.79</x:v>
      </x:c>
      <x:c r="L20" s="43" t="n">
        <x:v>0</x:v>
      </x:c>
      <x:c r="M20" s="10" t="n">
        <x:v>39.53761668481304</x:v>
      </x:c>
      <x:c r="N20" s="10" t="n">
        <x:v>33.87570602310221</x:v>
      </x:c>
      <x:c r="O20" s="10" t="n">
        <x:v>18.16853640921424</x:v>
      </x:c>
      <x:c r="P20" s="10" t="n">
        <x:v>8.41814088287051</x:v>
      </x:c>
      <x:c r="Q20" s="10" t="n">
        <x:v>26.58667729208475</x:v>
      </x:c>
      <x:c r="R20" s="44" t="n">
        <x:v>0.9804862905058741</x:v>
      </x:c>
      <x:c r="S20" s="44" t="n">
        <x:v>2.6292253900662836</x:v>
      </x:c>
      <x:c r="T20" s="45" t="n">
        <x:v>3082916</x:v>
      </x:c>
      <x:c r="U20" s="45" t="n">
        <x:v>3429883</x:v>
      </x:c>
      <x:c r="V20" s="6" t="str">
        <x:v>All fixed-support Cropland pixels are eligible</x:v>
      </x:c>
    </x:row>
    <x:row r="21">
      <x:c r="A21" s="6" t="str">
        <x:v>Rice-reference relative index · rice raw min/max</x:v>
      </x:c>
      <x:c r="B21" s="6" t="str">
        <x:v>MARIIS</x:v>
      </x:c>
      <x:c r="C21" s="6" t="str">
        <x:v>P80</x:v>
      </x:c>
      <x:c r="D21" s="6" t="str">
        <x:v>MARIIS · 2025 Wet</x:v>
      </x:c>
      <x:c r="E21" s="6" t="str">
        <x:v>Wet</x:v>
      </x:c>
      <x:c r="F21" s="7" t="n">
        <x:v>0.0468</x:v>
      </x:c>
      <x:c r="G21" s="6" t="str">
        <x:v>2025-05-01</x:v>
      </x:c>
      <x:c r="H21" s="6" t="str">
        <x:v>2025-11-01</x:v>
      </x:c>
      <x:c r="I21" s="41" t="n">
        <x:v>12</x:v>
      </x:c>
      <x:c r="J21" s="42" t="n">
        <x:v>24770.79</x:v>
      </x:c>
      <x:c r="K21" s="42" t="n">
        <x:v>24770.79</x:v>
      </x:c>
      <x:c r="L21" s="43" t="n">
        <x:v>0</x:v>
      </x:c>
      <x:c r="M21" s="10" t="n">
        <x:v>39.581297164926916</x:v>
      </x:c>
      <x:c r="N21" s="10" t="n">
        <x:v>33.87279937377855</x:v>
      </x:c>
      <x:c r="O21" s="10" t="n">
        <x:v>18.146575058768818</x:v>
      </x:c>
      <x:c r="P21" s="10" t="n">
        <x:v>8.399328402525716</x:v>
      </x:c>
      <x:c r="Q21" s="10" t="n">
        <x:v>26.545903461294532</x:v>
      </x:c>
      <x:c r="R21" s="44" t="n">
        <x:v>0.9793712675292149</x:v>
      </x:c>
      <x:c r="S21" s="44" t="n">
        <x:v>2.6270445956709496</x:v>
      </x:c>
      <x:c r="T21" s="45" t="n">
        <x:v>3080371</x:v>
      </x:c>
      <x:c r="U21" s="45" t="n">
        <x:v>3427026</x:v>
      </x:c>
      <x:c r="V21" s="6" t="str">
        <x:v>All fixed-support Cropland pixels are eligible</x:v>
      </x:c>
    </x:row>
    <x:row r="22">
      <x:c r="A22" s="6" t="str">
        <x:v>Experimental Lovell WI · QC rice P1/P99</x:v>
      </x:c>
      <x:c r="B22" s="6" t="str">
        <x:v>MARIIS</x:v>
      </x:c>
      <x:c r="C22" s="6" t="str">
        <x:v>P90</x:v>
      </x:c>
      <x:c r="D22" s="6" t="str">
        <x:v>MARIIS · 2023 Wet</x:v>
      </x:c>
      <x:c r="E22" s="6" t="str">
        <x:v>Wet</x:v>
      </x:c>
      <x:c r="F22" s="7" t="n">
        <x:v>4.697</x:v>
      </x:c>
      <x:c r="G22" s="6" t="str">
        <x:v>2023-05-01</x:v>
      </x:c>
      <x:c r="H22" s="6" t="str">
        <x:v>2023-11-01</x:v>
      </x:c>
      <x:c r="I22" s="41" t="n">
        <x:v>14</x:v>
      </x:c>
      <x:c r="J22" s="42" t="n">
        <x:v>24770.79</x:v>
      </x:c>
      <x:c r="K22" s="42" t="n">
        <x:v>24766.31</x:v>
      </x:c>
      <x:c r="L22" s="43" t="n">
        <x:v>0.00018085818013878445</x:v>
      </x:c>
      <x:c r="M22" s="10" t="n">
        <x:v>69.33107919589152</x:v>
      </x:c>
      <x:c r="N22" s="10" t="n">
        <x:v>23.92233643203206</x:v>
      </x:c>
      <x:c r="O22" s="10" t="n">
        <x:v>2.8309021408518267</x:v>
      </x:c>
      <x:c r="P22" s="10" t="n">
        <x:v>3.915682231224595</x:v>
      </x:c>
      <x:c r="Q22" s="10" t="n">
        <x:v>6.746584372076422</x:v>
      </x:c>
      <x:c r="R22" s="44" t="n">
        <x:v>0.42357460598692337</x:v>
      </x:c>
      <x:c r="S22" s="44" t="n">
        <x:v>0.9238287819218931</x:v>
      </x:c>
      <x:c r="T22" s="45" t="n">
        <x:v>1071028</x:v>
      </x:c>
      <x:c r="U22" s="45" t="n">
        <x:v>1216955</x:v>
      </x:c>
      <x:c r="V22" s="6" t="str">
        <x:v>Percent reversal groups use eligible pixels; insufficient share uses full domain</x:v>
      </x:c>
    </x:row>
    <x:row r="23">
      <x:c r="A23" s="6" t="str">
        <x:v>Production relative index · Cropland min/max</x:v>
      </x:c>
      <x:c r="B23" s="6" t="str">
        <x:v>MARIIS</x:v>
      </x:c>
      <x:c r="C23" s="6" t="str">
        <x:v>P90</x:v>
      </x:c>
      <x:c r="D23" s="6" t="str">
        <x:v>MARIIS · 2023 Wet</x:v>
      </x:c>
      <x:c r="E23" s="6" t="str">
        <x:v>Wet</x:v>
      </x:c>
      <x:c r="F23" s="7" t="n">
        <x:v>0.0588</x:v>
      </x:c>
      <x:c r="G23" s="6" t="str">
        <x:v>2023-05-01</x:v>
      </x:c>
      <x:c r="H23" s="6" t="str">
        <x:v>2023-11-01</x:v>
      </x:c>
      <x:c r="I23" s="41" t="n">
        <x:v>14</x:v>
      </x:c>
      <x:c r="J23" s="42" t="n">
        <x:v>24770.79</x:v>
      </x:c>
      <x:c r="K23" s="42" t="n">
        <x:v>24770.79</x:v>
      </x:c>
      <x:c r="L23" s="43" t="n">
        <x:v>0</x:v>
      </x:c>
      <x:c r="M23" s="10" t="n">
        <x:v>51.83573071347341</x:v>
      </x:c>
      <x:c r="N23" s="10" t="n">
        <x:v>27.172447871061035</x:v>
      </x:c>
      <x:c r="O23" s="10" t="n">
        <x:v>14.817411959812343</x:v>
      </x:c>
      <x:c r="P23" s="10" t="n">
        <x:v>6.174409455653211</x:v>
      </x:c>
      <x:c r="Q23" s="10" t="n">
        <x:v>20.991821415465555</x:v>
      </x:c>
      <x:c r="R23" s="44" t="n">
        <x:v>0.7754213733191392</x:v>
      </x:c>
      <x:c r="S23" s="44" t="n">
        <x:v>1.813307932447855</x:v>
      </x:c>
      <x:c r="T23" s="45" t="n">
        <x:v>1947212</x:v>
      </x:c>
      <x:c r="U23" s="45" t="n">
        <x:v>2544495</x:v>
      </x:c>
      <x:c r="V23" s="6" t="str">
        <x:v>All fixed-support Cropland pixels are eligible</x:v>
      </x:c>
    </x:row>
    <x:row r="24">
      <x:c r="A24" s="6" t="str">
        <x:v>Rice-reference relative index · rice raw min/max</x:v>
      </x:c>
      <x:c r="B24" s="6" t="str">
        <x:v>MARIIS</x:v>
      </x:c>
      <x:c r="C24" s="6" t="str">
        <x:v>P90</x:v>
      </x:c>
      <x:c r="D24" s="6" t="str">
        <x:v>MARIIS · 2023 Wet</x:v>
      </x:c>
      <x:c r="E24" s="6" t="str">
        <x:v>Wet</x:v>
      </x:c>
      <x:c r="F24" s="7" t="n">
        <x:v>0.0621</x:v>
      </x:c>
      <x:c r="G24" s="6" t="str">
        <x:v>2023-05-01</x:v>
      </x:c>
      <x:c r="H24" s="6" t="str">
        <x:v>2023-11-01</x:v>
      </x:c>
      <x:c r="I24" s="41" t="n">
        <x:v>14</x:v>
      </x:c>
      <x:c r="J24" s="42" t="n">
        <x:v>24770.79</x:v>
      </x:c>
      <x:c r="K24" s="42" t="n">
        <x:v>24770.79</x:v>
      </x:c>
      <x:c r="L24" s="43" t="n">
        <x:v>0</x:v>
      </x:c>
      <x:c r="M24" s="10" t="n">
        <x:v>51.85123284319959</x:v>
      </x:c>
      <x:c r="N24" s="10" t="n">
        <x:v>27.169218260701413</x:v>
      </x:c>
      <x:c r="O24" s="10" t="n">
        <x:v>14.810549037798149</x:v>
      </x:c>
      <x:c r="P24" s="10" t="n">
        <x:v>6.168999858300846</x:v>
      </x:c>
      <x:c r="Q24" s="10" t="n">
        <x:v>20.979548896098994</x:v>
      </x:c>
      <x:c r="R24" s="44" t="n">
        <x:v>0.7750620791666314</x:v>
      </x:c>
      <x:c r="S24" s="44" t="n">
        <x:v>1.8127217581675836</x:v>
      </x:c>
      <x:c r="T24" s="45" t="n">
        <x:v>1946600</x:v>
      </x:c>
      <x:c r="U24" s="45" t="n">
        <x:v>2543655</x:v>
      </x:c>
      <x:c r="V24" s="6" t="str">
        <x:v>All fixed-support Cropland pixels are eligible</x:v>
      </x:c>
    </x:row>
    <x:row r="25">
      <x:c r="A25" s="6" t="str">
        <x:v>Experimental Lovell WI · QC rice P1/P99</x:v>
      </x:c>
      <x:c r="B25" s="6" t="str">
        <x:v>MARIIS</x:v>
      </x:c>
      <x:c r="C25" s="6" t="str">
        <x:v>P90</x:v>
      </x:c>
      <x:c r="D25" s="6" t="str">
        <x:v>MARIIS · 2023–2024 Dry</x:v>
      </x:c>
      <x:c r="E25" s="6" t="str">
        <x:v>Dry</x:v>
      </x:c>
      <x:c r="F25" s="7" t="n">
        <x:v>4.697</x:v>
      </x:c>
      <x:c r="G25" s="6" t="str">
        <x:v>2023-09-01</x:v>
      </x:c>
      <x:c r="H25" s="6" t="str">
        <x:v>2024-03-01</x:v>
      </x:c>
      <x:c r="I25" s="41" t="n">
        <x:v>12</x:v>
      </x:c>
      <x:c r="J25" s="42" t="n">
        <x:v>24770.79</x:v>
      </x:c>
      <x:c r="K25" s="42" t="n">
        <x:v>24764.43</x:v>
      </x:c>
      <x:c r="L25" s="43" t="n">
        <x:v>0.0002567540235898815</x:v>
      </x:c>
      <x:c r="M25" s="10" t="n">
        <x:v>64.3048113766398</x:v>
      </x:c>
      <x:c r="N25" s="10" t="n">
        <x:v>27.8412222691982</x:v>
      </x:c>
      <x:c r="O25" s="10" t="n">
        <x:v>3.4001993988959165</x:v>
      </x:c>
      <x:c r="P25" s="10" t="n">
        <x:v>4.453766955266081</x:v>
      </x:c>
      <x:c r="Q25" s="10" t="n">
        <x:v>7.853966354161997</x:v>
      </x:c>
      <x:c r="R25" s="44" t="n">
        <x:v>0.48791512665544895</x:v>
      </x:c>
      <x:c r="S25" s="44" t="n">
        <x:v>1.125057592684346</x:v>
      </x:c>
      <x:c r="T25" s="45" t="n">
        <x:v>1422053</x:v>
      </x:c>
      <x:c r="U25" s="45" t="n">
        <x:v>1364088</x:v>
      </x:c>
      <x:c r="V25" s="6" t="str">
        <x:v>Percent reversal groups use eligible pixels; insufficient share uses full domain</x:v>
      </x:c>
    </x:row>
    <x:row r="26">
      <x:c r="A26" s="6" t="str">
        <x:v>Production relative index · Cropland min/max</x:v>
      </x:c>
      <x:c r="B26" s="6" t="str">
        <x:v>MARIIS</x:v>
      </x:c>
      <x:c r="C26" s="6" t="str">
        <x:v>P90</x:v>
      </x:c>
      <x:c r="D26" s="6" t="str">
        <x:v>MARIIS · 2023–2024 Dry</x:v>
      </x:c>
      <x:c r="E26" s="6" t="str">
        <x:v>Dry</x:v>
      </x:c>
      <x:c r="F26" s="7" t="n">
        <x:v>0.0588</x:v>
      </x:c>
      <x:c r="G26" s="6" t="str">
        <x:v>2023-09-01</x:v>
      </x:c>
      <x:c r="H26" s="6" t="str">
        <x:v>2024-03-01</x:v>
      </x:c>
      <x:c r="I26" s="41" t="n">
        <x:v>12</x:v>
      </x:c>
      <x:c r="J26" s="42" t="n">
        <x:v>24770.79</x:v>
      </x:c>
      <x:c r="K26" s="42" t="n">
        <x:v>24770.79</x:v>
      </x:c>
      <x:c r="L26" s="43" t="n">
        <x:v>0</x:v>
      </x:c>
      <x:c r="M26" s="10" t="n">
        <x:v>64.571012874438</x:v>
      </x:c>
      <x:c r="N26" s="10" t="n">
        <x:v>25.301211628696542</x:v>
      </x:c>
      <x:c r="O26" s="10" t="n">
        <x:v>7.687239688358749</x:v>
      </x:c>
      <x:c r="P26" s="10" t="n">
        <x:v>2.440535808506713</x:v>
      </x:c>
      <x:c r="Q26" s="10" t="n">
        <x:v>10.12777549686546</x:v>
      </x:c>
      <x:c r="R26" s="44" t="n">
        <x:v>0.4846203936168366</x:v>
      </x:c>
      <x:c r="S26" s="44" t="n">
        <x:v>1.4498645380304787</x:v>
      </x:c>
      <x:c r="T26" s="45" t="n">
        <x:v>2005562</x:v>
      </x:c>
      <x:c r="U26" s="45" t="n">
        <x:v>1585867</x:v>
      </x:c>
      <x:c r="V26" s="6" t="str">
        <x:v>All fixed-support Cropland pixels are eligible</x:v>
      </x:c>
    </x:row>
    <x:row r="27">
      <x:c r="A27" s="6" t="str">
        <x:v>Rice-reference relative index · rice raw min/max</x:v>
      </x:c>
      <x:c r="B27" s="6" t="str">
        <x:v>MARIIS</x:v>
      </x:c>
      <x:c r="C27" s="6" t="str">
        <x:v>P90</x:v>
      </x:c>
      <x:c r="D27" s="6" t="str">
        <x:v>MARIIS · 2023–2024 Dry</x:v>
      </x:c>
      <x:c r="E27" s="6" t="str">
        <x:v>Dry</x:v>
      </x:c>
      <x:c r="F27" s="7" t="n">
        <x:v>0.0621</x:v>
      </x:c>
      <x:c r="G27" s="6" t="str">
        <x:v>2023-09-01</x:v>
      </x:c>
      <x:c r="H27" s="6" t="str">
        <x:v>2024-03-01</x:v>
      </x:c>
      <x:c r="I27" s="41" t="n">
        <x:v>12</x:v>
      </x:c>
      <x:c r="J27" s="42" t="n">
        <x:v>24770.79</x:v>
      </x:c>
      <x:c r="K27" s="42" t="n">
        <x:v>24770.79</x:v>
      </x:c>
      <x:c r="L27" s="43" t="n">
        <x:v>0</x:v>
      </x:c>
      <x:c r="M27" s="10" t="n">
        <x:v>64.58413316652396</x:v>
      </x:c>
      <x:c r="N27" s="10" t="n">
        <x:v>25.2939046352579</x:v>
      </x:c>
      <x:c r="O27" s="10" t="n">
        <x:v>7.683162305279726</x:v>
      </x:c>
      <x:c r="P27" s="10" t="n">
        <x:v>2.4387998929384165</x:v>
      </x:c>
      <x:c r="Q27" s="10" t="n">
        <x:v>10.121962198218144</x:v>
      </x:c>
      <x:c r="R27" s="44" t="n">
        <x:v>0.48440966154087134</x:v>
      </x:c>
      <x:c r="S27" s="44" t="n">
        <x:v>1.4493889779050244</x:v>
      </x:c>
      <x:c r="T27" s="45" t="n">
        <x:v>2004971</x:v>
      </x:c>
      <x:c r="U27" s="45" t="n">
        <x:v>1585280</x:v>
      </x:c>
      <x:c r="V27" s="6" t="str">
        <x:v>All fixed-support Cropland pixels are eligible</x:v>
      </x:c>
    </x:row>
    <x:row r="28">
      <x:c r="A28" s="6" t="str">
        <x:v>Experimental Lovell WI · QC rice P1/P99</x:v>
      </x:c>
      <x:c r="B28" s="6" t="str">
        <x:v>MARIIS</x:v>
      </x:c>
      <x:c r="C28" s="6" t="str">
        <x:v>P90</x:v>
      </x:c>
      <x:c r="D28" s="6" t="str">
        <x:v>MARIIS · 2024 Wet</x:v>
      </x:c>
      <x:c r="E28" s="6" t="str">
        <x:v>Wet</x:v>
      </x:c>
      <x:c r="F28" s="7" t="n">
        <x:v>4.697</x:v>
      </x:c>
      <x:c r="G28" s="6" t="str">
        <x:v>2024-05-01</x:v>
      </x:c>
      <x:c r="H28" s="6" t="str">
        <x:v>2024-11-01</x:v>
      </x:c>
      <x:c r="I28" s="41" t="n">
        <x:v>14</x:v>
      </x:c>
      <x:c r="J28" s="42" t="n">
        <x:v>24770.79</x:v>
      </x:c>
      <x:c r="K28" s="42" t="n">
        <x:v>24764.32</x:v>
      </x:c>
      <x:c r="L28" s="43" t="n">
        <x:v>0.0002611947378343606</x:v>
      </x:c>
      <x:c r="M28" s="10" t="n">
        <x:v>64.48382188568068</x:v>
      </x:c>
      <x:c r="N28" s="10" t="n">
        <x:v>24.76797263159255</x:v>
      </x:c>
      <x:c r="O28" s="10" t="n">
        <x:v>5.291968444923987</x:v>
      </x:c>
      <x:c r="P28" s="10" t="n">
        <x:v>5.456237037802774</x:v>
      </x:c>
      <x:c r="Q28" s="10" t="n">
        <x:v>10.74820548272676</x:v>
      </x:c>
      <x:c r="R28" s="44" t="n">
        <x:v>0.5356928839556265</x:v>
      </x:c>
      <x:c r="S28" s="44" t="n">
        <x:v>1.1550811813124688</x:v>
      </x:c>
      <x:c r="T28" s="45" t="n">
        <x:v>1280956</x:v>
      </x:c>
      <x:c r="U28" s="45" t="n">
        <x:v>1579524</x:v>
      </x:c>
      <x:c r="V28" s="6" t="str">
        <x:v>Percent reversal groups use eligible pixels; insufficient share uses full domain</x:v>
      </x:c>
    </x:row>
    <x:row r="29">
      <x:c r="A29" s="6" t="str">
        <x:v>Production relative index · Cropland min/max</x:v>
      </x:c>
      <x:c r="B29" s="6" t="str">
        <x:v>MARIIS</x:v>
      </x:c>
      <x:c r="C29" s="6" t="str">
        <x:v>P90</x:v>
      </x:c>
      <x:c r="D29" s="6" t="str">
        <x:v>MARIIS · 2024 Wet</x:v>
      </x:c>
      <x:c r="E29" s="6" t="str">
        <x:v>Wet</x:v>
      </x:c>
      <x:c r="F29" s="7" t="n">
        <x:v>0.0588</x:v>
      </x:c>
      <x:c r="G29" s="6" t="str">
        <x:v>2024-05-01</x:v>
      </x:c>
      <x:c r="H29" s="6" t="str">
        <x:v>2024-11-01</x:v>
      </x:c>
      <x:c r="I29" s="41" t="n">
        <x:v>14</x:v>
      </x:c>
      <x:c r="J29" s="42" t="n">
        <x:v>24770.79</x:v>
      </x:c>
      <x:c r="K29" s="42" t="n">
        <x:v>24770.79</x:v>
      </x:c>
      <x:c r="L29" s="43" t="n">
        <x:v>0</x:v>
      </x:c>
      <x:c r="M29" s="10" t="n">
        <x:v>58.90336965433884</x:v>
      </x:c>
      <x:c r="N29" s="10" t="n">
        <x:v>27.464000946275835</x:v>
      </x:c>
      <x:c r="O29" s="10" t="n">
        <x:v>9.63881248841882</x:v>
      </x:c>
      <x:c r="P29" s="10" t="n">
        <x:v>3.993816910966505</x:v>
      </x:c>
      <x:c r="Q29" s="10" t="n">
        <x:v>13.632629399385324</x:v>
      </x:c>
      <x:c r="R29" s="44" t="n">
        <x:v>0.5980027282133513</x:v>
      </x:c>
      <x:c r="S29" s="44" t="n">
        <x:v>1.553795014208267</x:v>
      </x:c>
      <x:c r="T29" s="45" t="n">
        <x:v>1705368</x:v>
      </x:c>
      <x:c r="U29" s="45" t="n">
        <x:v>2143505</x:v>
      </x:c>
      <x:c r="V29" s="6" t="str">
        <x:v>All fixed-support Cropland pixels are eligible</x:v>
      </x:c>
    </x:row>
    <x:row r="30">
      <x:c r="A30" s="6" t="str">
        <x:v>Rice-reference relative index · rice raw min/max</x:v>
      </x:c>
      <x:c r="B30" s="6" t="str">
        <x:v>MARIIS</x:v>
      </x:c>
      <x:c r="C30" s="6" t="str">
        <x:v>P90</x:v>
      </x:c>
      <x:c r="D30" s="6" t="str">
        <x:v>MARIIS · 2024 Wet</x:v>
      </x:c>
      <x:c r="E30" s="6" t="str">
        <x:v>Wet</x:v>
      </x:c>
      <x:c r="F30" s="7" t="n">
        <x:v>0.0621</x:v>
      </x:c>
      <x:c r="G30" s="6" t="str">
        <x:v>2024-05-01</x:v>
      </x:c>
      <x:c r="H30" s="6" t="str">
        <x:v>2024-11-01</x:v>
      </x:c>
      <x:c r="I30" s="41" t="n">
        <x:v>14</x:v>
      </x:c>
      <x:c r="J30" s="42" t="n">
        <x:v>24770.79</x:v>
      </x:c>
      <x:c r="K30" s="42" t="n">
        <x:v>24770.79</x:v>
      </x:c>
      <x:c r="L30" s="43" t="n">
        <x:v>0</x:v>
      </x:c>
      <x:c r="M30" s="10" t="n">
        <x:v>58.91790290095714</x:v>
      </x:c>
      <x:c r="N30" s="10" t="n">
        <x:v>27.45859134892347</x:v>
      </x:c>
      <x:c r="O30" s="10" t="n">
        <x:v>9.633362520936958</x:v>
      </x:c>
      <x:c r="P30" s="10" t="n">
        <x:v>3.9901432291824364</x:v>
      </x:c>
      <x:c r="Q30" s="10" t="n">
        <x:v>13.623505750119394</x:v>
      </x:c>
      <x:c r="R30" s="44" t="n">
        <x:v>0.5977165039952299</x:v>
      </x:c>
      <x:c r="S30" s="44" t="n">
        <x:v>1.5532552655769154</x:v>
      </x:c>
      <x:c r="T30" s="45" t="n">
        <x:v>1704794</x:v>
      </x:c>
      <x:c r="U30" s="45" t="n">
        <x:v>2142742</x:v>
      </x:c>
      <x:c r="V30" s="6" t="str">
        <x:v>All fixed-support Cropland pixels are eligible</x:v>
      </x:c>
    </x:row>
    <x:row r="31">
      <x:c r="A31" s="6" t="str">
        <x:v>Experimental Lovell WI · QC rice P1/P99</x:v>
      </x:c>
      <x:c r="B31" s="6" t="str">
        <x:v>MARIIS</x:v>
      </x:c>
      <x:c r="C31" s="6" t="str">
        <x:v>P90</x:v>
      </x:c>
      <x:c r="D31" s="6" t="str">
        <x:v>MARIIS · 2024–2025 Dry</x:v>
      </x:c>
      <x:c r="E31" s="6" t="str">
        <x:v>Dry</x:v>
      </x:c>
      <x:c r="F31" s="7" t="n">
        <x:v>4.697</x:v>
      </x:c>
      <x:c r="G31" s="6" t="str">
        <x:v>2024-09-01</x:v>
      </x:c>
      <x:c r="H31" s="6" t="str">
        <x:v>2025-03-01</x:v>
      </x:c>
      <x:c r="I31" s="41" t="n">
        <x:v>14</x:v>
      </x:c>
      <x:c r="J31" s="42" t="n">
        <x:v>24770.79</x:v>
      </x:c>
      <x:c r="K31" s="42" t="n">
        <x:v>24762.350000000002</x:v>
      </x:c>
      <x:c r="L31" s="43" t="n">
        <x:v>0.00034072389294003135</x:v>
      </x:c>
      <x:c r="M31" s="10" t="n">
        <x:v>50.62019557917564</x:v>
      </x:c>
      <x:c r="N31" s="10" t="n">
        <x:v>32.705660003998005</x:v>
      </x:c>
      <x:c r="O31" s="10" t="n">
        <x:v>5.402839391253253</x:v>
      </x:c>
      <x:c r="P31" s="10" t="n">
        <x:v>11.271305025573097</x:v>
      </x:c>
      <x:c r="Q31" s="10" t="n">
        <x:v>16.67414441682635</x:v>
      </x:c>
      <x:c r="R31" s="44" t="n">
        <x:v>0.8168671390235579</x:v>
      </x:c>
      <x:c r="S31" s="44" t="n">
        <x:v>1.634031503472005</x:v>
      </x:c>
      <x:c r="T31" s="45" t="n">
        <x:v>2083210</x:v>
      </x:c>
      <x:c r="U31" s="45" t="n">
        <x:v>1963036</x:v>
      </x:c>
      <x:c r="V31" s="6" t="str">
        <x:v>Percent reversal groups use eligible pixels; insufficient share uses full domain</x:v>
      </x:c>
    </x:row>
    <x:row r="32">
      <x:c r="A32" s="6" t="str">
        <x:v>Production relative index · Cropland min/max</x:v>
      </x:c>
      <x:c r="B32" s="6" t="str">
        <x:v>MARIIS</x:v>
      </x:c>
      <x:c r="C32" s="6" t="str">
        <x:v>P90</x:v>
      </x:c>
      <x:c r="D32" s="6" t="str">
        <x:v>MARIIS · 2024–2025 Dry</x:v>
      </x:c>
      <x:c r="E32" s="6" t="str">
        <x:v>Dry</x:v>
      </x:c>
      <x:c r="F32" s="7" t="n">
        <x:v>0.0588</x:v>
      </x:c>
      <x:c r="G32" s="6" t="str">
        <x:v>2024-09-01</x:v>
      </x:c>
      <x:c r="H32" s="6" t="str">
        <x:v>2025-03-01</x:v>
      </x:c>
      <x:c r="I32" s="41" t="n">
        <x:v>14</x:v>
      </x:c>
      <x:c r="J32" s="42" t="n">
        <x:v>24770.79</x:v>
      </x:c>
      <x:c r="K32" s="42" t="n">
        <x:v>24770.79</x:v>
      </x:c>
      <x:c r="L32" s="43" t="n">
        <x:v>0</x:v>
      </x:c>
      <x:c r="M32" s="10" t="n">
        <x:v>56.794434089506225</x:v>
      </x:c>
      <x:c r="N32" s="10" t="n">
        <x:v>28.727020817664677</x:v>
      </x:c>
      <x:c r="O32" s="10" t="n">
        <x:v>10.566195103184032</x:v>
      </x:c>
      <x:c r="P32" s="10" t="n">
        <x:v>3.9123499896450618</x:v>
      </x:c>
      <x:c r="Q32" s="10" t="n">
        <x:v>14.478545092829094</x:v>
      </x:c>
      <x:c r="R32" s="44" t="n">
        <x:v>0.6269573961912398</x:v>
      </x:c>
      <x:c r="S32" s="44" t="n">
        <x:v>1.5450766810424699</x:v>
      </x:c>
      <x:c r="T32" s="45" t="n">
        <x:v>2018407</x:v>
      </x:c>
      <x:c r="U32" s="45" t="n">
        <x:v>1808870</x:v>
      </x:c>
      <x:c r="V32" s="6" t="str">
        <x:v>All fixed-support Cropland pixels are eligible</x:v>
      </x:c>
    </x:row>
    <x:row r="33">
      <x:c r="A33" s="6" t="str">
        <x:v>Rice-reference relative index · rice raw min/max</x:v>
      </x:c>
      <x:c r="B33" s="6" t="str">
        <x:v>MARIIS</x:v>
      </x:c>
      <x:c r="C33" s="6" t="str">
        <x:v>P90</x:v>
      </x:c>
      <x:c r="D33" s="6" t="str">
        <x:v>MARIIS · 2024–2025 Dry</x:v>
      </x:c>
      <x:c r="E33" s="6" t="str">
        <x:v>Dry</x:v>
      </x:c>
      <x:c r="F33" s="7" t="n">
        <x:v>0.0621</x:v>
      </x:c>
      <x:c r="G33" s="6" t="str">
        <x:v>2024-09-01</x:v>
      </x:c>
      <x:c r="H33" s="6" t="str">
        <x:v>2025-03-01</x:v>
      </x:c>
      <x:c r="I33" s="41" t="n">
        <x:v>14</x:v>
      </x:c>
      <x:c r="J33" s="42" t="n">
        <x:v>24770.79</x:v>
      </x:c>
      <x:c r="K33" s="42" t="n">
        <x:v>24770.79</x:v>
      </x:c>
      <x:c r="L33" s="43" t="n">
        <x:v>0</x:v>
      </x:c>
      <x:c r="M33" s="10" t="n">
        <x:v>56.80908844651301</x:v>
      </x:c>
      <x:c r="N33" s="10" t="n">
        <x:v>28.722095661866256</x:v>
      </x:c>
      <x:c r="O33" s="10" t="n">
        <x:v>10.559534031817314</x:v>
      </x:c>
      <x:c r="P33" s="10" t="n">
        <x:v>3.909281859803422</x:v>
      </x:c>
      <x:c r="Q33" s="10" t="n">
        <x:v>14.468815891620736</x:v>
      </x:c>
      <x:c r="R33" s="44" t="n">
        <x:v>0.6266647127523991</x:v>
      </x:c>
      <x:c r="S33" s="44" t="n">
        <x:v>1.544555098969391</x:v>
      </x:c>
      <x:c r="T33" s="45" t="n">
        <x:v>2017765</x:v>
      </x:c>
      <x:c r="U33" s="45" t="n">
        <x:v>1808220</x:v>
      </x:c>
      <x:c r="V33" s="6" t="str">
        <x:v>All fixed-support Cropland pixels are eligible</x:v>
      </x:c>
    </x:row>
    <x:row r="34">
      <x:c r="A34" s="6" t="str">
        <x:v>Experimental Lovell WI · QC rice P1/P99</x:v>
      </x:c>
      <x:c r="B34" s="6" t="str">
        <x:v>MARIIS</x:v>
      </x:c>
      <x:c r="C34" s="6" t="str">
        <x:v>P90</x:v>
      </x:c>
      <x:c r="D34" s="6" t="str">
        <x:v>MARIIS · 2025 Wet</x:v>
      </x:c>
      <x:c r="E34" s="6" t="str">
        <x:v>Wet</x:v>
      </x:c>
      <x:c r="F34" s="7" t="n">
        <x:v>4.697</x:v>
      </x:c>
      <x:c r="G34" s="6" t="str">
        <x:v>2025-05-01</x:v>
      </x:c>
      <x:c r="H34" s="6" t="str">
        <x:v>2025-11-01</x:v>
      </x:c>
      <x:c r="I34" s="41" t="n">
        <x:v>12</x:v>
      </x:c>
      <x:c r="J34" s="42" t="n">
        <x:v>24770.79</x:v>
      </x:c>
      <x:c r="K34" s="42" t="n">
        <x:v>24761.63</x:v>
      </x:c>
      <x:c r="L34" s="43" t="n">
        <x:v>0.00036979038617662176</x:v>
      </x:c>
      <x:c r="M34" s="10" t="n">
        <x:v>64.75817625899425</x:v>
      </x:c>
      <x:c r="N34" s="10" t="n">
        <x:v>26.98816677254284</x:v>
      </x:c>
      <x:c r="O34" s="10" t="n">
        <x:v>5.642399147390539</x:v>
      </x:c>
      <x:c r="P34" s="10" t="n">
        <x:v>2.611257821072361</x:v>
      </x:c>
      <x:c r="Q34" s="10" t="n">
        <x:v>8.2536569684629</x:v>
      </x:c>
      <x:c r="R34" s="44" t="n">
        <x:v>0.46808752089422223</x:v>
      </x:c>
      <x:c r="S34" s="44" t="n">
        <x:v>1.233516937293708</x:v>
      </x:c>
      <x:c r="T34" s="45" t="n">
        <x:v>1419225</x:v>
      </x:c>
      <x:c r="U34" s="45" t="n">
        <x:v>1635164</x:v>
      </x:c>
      <x:c r="V34" s="6" t="str">
        <x:v>Percent reversal groups use eligible pixels; insufficient share uses full domain</x:v>
      </x:c>
    </x:row>
    <x:row r="35">
      <x:c r="A35" s="6" t="str">
        <x:v>Production relative index · Cropland min/max</x:v>
      </x:c>
      <x:c r="B35" s="6" t="str">
        <x:v>MARIIS</x:v>
      </x:c>
      <x:c r="C35" s="6" t="str">
        <x:v>P90</x:v>
      </x:c>
      <x:c r="D35" s="6" t="str">
        <x:v>MARIIS · 2025 Wet</x:v>
      </x:c>
      <x:c r="E35" s="6" t="str">
        <x:v>Wet</x:v>
      </x:c>
      <x:c r="F35" s="7" t="n">
        <x:v>0.0588</x:v>
      </x:c>
      <x:c r="G35" s="6" t="str">
        <x:v>2025-05-01</x:v>
      </x:c>
      <x:c r="H35" s="6" t="str">
        <x:v>2025-11-01</x:v>
      </x:c>
      <x:c r="I35" s="41" t="n">
        <x:v>12</x:v>
      </x:c>
      <x:c r="J35" s="42" t="n">
        <x:v>24770.79</x:v>
      </x:c>
      <x:c r="K35" s="42" t="n">
        <x:v>24770.79</x:v>
      </x:c>
      <x:c r="L35" s="43" t="n">
        <x:v>0</x:v>
      </x:c>
      <x:c r="M35" s="10" t="n">
        <x:v>68.2357728598886</x:v>
      </x:c>
      <x:c r="N35" s="10" t="n">
        <x:v>24.670347615074046</x:v>
      </x:c>
      <x:c r="O35" s="10" t="n">
        <x:v>5.752824193334165</x:v>
      </x:c>
      <x:c r="P35" s="10" t="n">
        <x:v>1.3410553317031875</x:v>
      </x:c>
      <x:c r="Q35" s="10" t="n">
        <x:v>7.0938795250373525</x:v>
      </x:c>
      <x:c r="R35" s="44" t="n">
        <x:v>0.40418614020788196</x:v>
      </x:c>
      <x:c r="S35" s="44" t="n">
        <x:v>1.3918704248027616</x:v>
      </x:c>
      <x:c r="T35" s="45" t="n">
        <x:v>1638199</x:v>
      </x:c>
      <x:c r="U35" s="45" t="n">
        <x:v>1809574</x:v>
      </x:c>
      <x:c r="V35" s="6" t="str">
        <x:v>All fixed-support Cropland pixels are eligible</x:v>
      </x:c>
    </x:row>
    <x:row r="36">
      <x:c r="A36" s="6" t="str">
        <x:v>Rice-reference relative index · rice raw min/max</x:v>
      </x:c>
      <x:c r="B36" s="6" t="str">
        <x:v>MARIIS</x:v>
      </x:c>
      <x:c r="C36" s="6" t="str">
        <x:v>P90</x:v>
      </x:c>
      <x:c r="D36" s="6" t="str">
        <x:v>MARIIS · 2025 Wet</x:v>
      </x:c>
      <x:c r="E36" s="6" t="str">
        <x:v>Wet</x:v>
      </x:c>
      <x:c r="F36" s="7" t="n">
        <x:v>0.0621</x:v>
      </x:c>
      <x:c r="G36" s="6" t="str">
        <x:v>2025-05-01</x:v>
      </x:c>
      <x:c r="H36" s="6" t="str">
        <x:v>2025-11-01</x:v>
      </x:c>
      <x:c r="I36" s="41" t="n">
        <x:v>12</x:v>
      </x:c>
      <x:c r="J36" s="42" t="n">
        <x:v>24770.79</x:v>
      </x:c>
      <x:c r="K36" s="42" t="n">
        <x:v>24770.79</x:v>
      </x:c>
      <x:c r="L36" s="43" t="n">
        <x:v>0</x:v>
      </x:c>
      <x:c r="M36" s="10" t="n">
        <x:v>68.24893352210405</x:v>
      </x:c>
      <x:c r="N36" s="10" t="n">
        <x:v>24.662758030728934</x:v>
      </x:c>
      <x:c r="O36" s="10" t="n">
        <x:v>5.748746810255144</x:v>
      </x:c>
      <x:c r="P36" s="10" t="n">
        <x:v>1.3395616369118628</x:v>
      </x:c>
      <x:c r="Q36" s="10" t="n">
        <x:v>7.088308447167006</x:v>
      </x:c>
      <x:c r="R36" s="44" t="n">
        <x:v>0.40397984884616117</x:v>
      </x:c>
      <x:c r="S36" s="44" t="n">
        <x:v>1.3913940572747174</x:v>
      </x:c>
      <x:c r="T36" s="45" t="n">
        <x:v>1637654</x:v>
      </x:c>
      <x:c r="U36" s="45" t="n">
        <x:v>1808939</x:v>
      </x:c>
      <x:c r="V36" s="6" t="str">
        <x:v>All fixed-support Cropland pixels are eligible</x:v>
      </x:c>
    </x:row>
    <x:row r="37">
      <x:c r="A37" s="6" t="str">
        <x:v>Experimental Lovell WI · QC rice P1/P99</x:v>
      </x:c>
      <x:c r="B37" s="6" t="str">
        <x:v>MRIS</x:v>
      </x:c>
      <x:c r="C37" s="6" t="str">
        <x:v>P80</x:v>
      </x:c>
      <x:c r="D37" s="6" t="str">
        <x:v>MRIS · 2023 Dry</x:v>
      </x:c>
      <x:c r="E37" s="6" t="str">
        <x:v>Dry</x:v>
      </x:c>
      <x:c r="F37" s="7" t="n">
        <x:v>2.5340000000000003</x:v>
      </x:c>
      <x:c r="G37" s="6" t="str">
        <x:v>2023-01-01</x:v>
      </x:c>
      <x:c r="H37" s="6" t="str">
        <x:v>2023-06-01</x:v>
      </x:c>
      <x:c r="I37" s="41" t="n">
        <x:v>12</x:v>
      </x:c>
      <x:c r="J37" s="42" t="n">
        <x:v>2994.19</x:v>
      </x:c>
      <x:c r="K37" s="42" t="n">
        <x:v>2993.89</x:v>
      </x:c>
      <x:c r="L37" s="43" t="n">
        <x:v>0.0001001940424622352</x:v>
      </x:c>
      <x:c r="M37" s="10" t="n">
        <x:v>53.49328131628083</x:v>
      </x:c>
      <x:c r="N37" s="10" t="n">
        <x:v>28.200434885717243</x:v>
      </x:c>
      <x:c r="O37" s="10" t="n">
        <x:v>9.354051084041163</x:v>
      </x:c>
      <x:c r="P37" s="10" t="n">
        <x:v>8.952232713960766</x:v>
      </x:c>
      <x:c r="Q37" s="10" t="n">
        <x:v>18.306283798001928</x:v>
      </x:c>
      <x:c r="R37" s="44" t="n">
        <x:v>0.7725434134186627</x:v>
      </x:c>
      <x:c r="S37" s="44" t="n">
        <x:v>1.6196420042152517</x:v>
      </x:c>
      <x:c r="T37" s="45" t="n">
        <x:v>225261</x:v>
      </x:c>
      <x:c r="U37" s="45" t="n">
        <x:v>259642</x:v>
      </x:c>
      <x:c r="V37" s="6" t="str">
        <x:v>Percent reversal groups use eligible pixels; insufficient share uses full domain</x:v>
      </x:c>
    </x:row>
    <x:row r="38">
      <x:c r="A38" s="6" t="str">
        <x:v>Production relative index · Cropland min/max</x:v>
      </x:c>
      <x:c r="B38" s="6" t="str">
        <x:v>MRIS</x:v>
      </x:c>
      <x:c r="C38" s="6" t="str">
        <x:v>P80</x:v>
      </x:c>
      <x:c r="D38" s="6" t="str">
        <x:v>MRIS · 2023 Dry</x:v>
      </x:c>
      <x:c r="E38" s="6" t="str">
        <x:v>Dry</x:v>
      </x:c>
      <x:c r="F38" s="7" t="n">
        <x:v>0.0443</x:v>
      </x:c>
      <x:c r="G38" s="6" t="str">
        <x:v>2023-01-01</x:v>
      </x:c>
      <x:c r="H38" s="6" t="str">
        <x:v>2023-06-01</x:v>
      </x:c>
      <x:c r="I38" s="41" t="n">
        <x:v>12</x:v>
      </x:c>
      <x:c r="J38" s="42" t="n">
        <x:v>2994.19</x:v>
      </x:c>
      <x:c r="K38" s="42" t="n">
        <x:v>2994.19</x:v>
      </x:c>
      <x:c r="L38" s="43" t="n">
        <x:v>0</x:v>
      </x:c>
      <x:c r="M38" s="10" t="n">
        <x:v>34.91829175837205</x:v>
      </x:c>
      <x:c r="N38" s="10" t="n">
        <x:v>28.2864480877967</x:v>
      </x:c>
      <x:c r="O38" s="10" t="n">
        <x:v>20.397503164461842</x:v>
      </x:c>
      <x:c r="P38" s="10" t="n">
        <x:v>16.397756989369412</x:v>
      </x:c>
      <x:c r="Q38" s="10" t="n">
        <x:v>36.79526015383125</x:v>
      </x:c>
      <x:c r="R38" s="44" t="n">
        <x:v>1.2668935505094867</x:v>
      </x:c>
      <x:c r="S38" s="44" t="n">
        <x:v>2.6007968766177165</x:v>
      </x:c>
      <x:c r="T38" s="45" t="n">
        <x:v>354350</x:v>
      </x:c>
      <x:c r="U38" s="45" t="n">
        <x:v>424378</x:v>
      </x:c>
      <x:c r="V38" s="6" t="str">
        <x:v>All fixed-support Cropland pixels are eligible</x:v>
      </x:c>
    </x:row>
    <x:row r="39">
      <x:c r="A39" s="6" t="str">
        <x:v>Rice-reference relative index · rice raw min/max</x:v>
      </x:c>
      <x:c r="B39" s="6" t="str">
        <x:v>MRIS</x:v>
      </x:c>
      <x:c r="C39" s="6" t="str">
        <x:v>P80</x:v>
      </x:c>
      <x:c r="D39" s="6" t="str">
        <x:v>MRIS · 2023 Dry</x:v>
      </x:c>
      <x:c r="E39" s="6" t="str">
        <x:v>Dry</x:v>
      </x:c>
      <x:c r="F39" s="7" t="n">
        <x:v>0.0468</x:v>
      </x:c>
      <x:c r="G39" s="6" t="str">
        <x:v>2023-01-01</x:v>
      </x:c>
      <x:c r="H39" s="6" t="str">
        <x:v>2023-06-01</x:v>
      </x:c>
      <x:c r="I39" s="41" t="n">
        <x:v>12</x:v>
      </x:c>
      <x:c r="J39" s="42" t="n">
        <x:v>2994.19</x:v>
      </x:c>
      <x:c r="K39" s="42" t="n">
        <x:v>2994.19</x:v>
      </x:c>
      <x:c r="L39" s="43" t="n">
        <x:v>0</x:v>
      </x:c>
      <x:c r="M39" s="10" t="n">
        <x:v>34.97506838243398</x:v>
      </x:c>
      <x:c r="N39" s="10" t="n">
        <x:v>28.28177236581513</x:v>
      </x:c>
      <x:c r="O39" s="10" t="n">
        <x:v>20.37479251483707</x:v>
      </x:c>
      <x:c r="P39" s="10" t="n">
        <x:v>16.368366736913824</x:v>
      </x:c>
      <x:c r="Q39" s="10" t="n">
        <x:v>36.74315925175089</x:v>
      </x:c>
      <x:c r="R39" s="44" t="n">
        <x:v>1.2652871060286754</x:v>
      </x:c>
      <x:c r="S39" s="44" t="n">
        <x:v>2.5983588215844686</x:v>
      </x:c>
      <x:c r="T39" s="45" t="n">
        <x:v>353988</x:v>
      </x:c>
      <x:c r="U39" s="45" t="n">
        <x:v>424010</x:v>
      </x:c>
      <x:c r="V39" s="6" t="str">
        <x:v>All fixed-support Cropland pixels are eligible</x:v>
      </x:c>
    </x:row>
    <x:row r="40">
      <x:c r="A40" s="6" t="str">
        <x:v>Experimental Lovell WI · QC rice P1/P99</x:v>
      </x:c>
      <x:c r="B40" s="6" t="str">
        <x:v>MRIS</x:v>
      </x:c>
      <x:c r="C40" s="6" t="str">
        <x:v>P80</x:v>
      </x:c>
      <x:c r="D40" s="6" t="str">
        <x:v>MRIS · 2023–2024 Wet</x:v>
      </x:c>
      <x:c r="E40" s="6" t="str">
        <x:v>Wet</x:v>
      </x:c>
      <x:c r="F40" s="7" t="n">
        <x:v>2.5340000000000003</x:v>
      </x:c>
      <x:c r="G40" s="6" t="str">
        <x:v>2023-08-01</x:v>
      </x:c>
      <x:c r="H40" s="6" t="str">
        <x:v>2024-01-01</x:v>
      </x:c>
      <x:c r="I40" s="41" t="n">
        <x:v>11</x:v>
      </x:c>
      <x:c r="J40" s="42" t="n">
        <x:v>2994.19</x:v>
      </x:c>
      <x:c r="K40" s="42" t="n">
        <x:v>2993.54</x:v>
      </x:c>
      <x:c r="L40" s="43" t="n">
        <x:v>0.00021708709200150958</x:v>
      </x:c>
      <x:c r="M40" s="10" t="n">
        <x:v>34.86307181464086</x:v>
      </x:c>
      <x:c r="N40" s="10" t="n">
        <x:v>36.009540543971355</x:v>
      </x:c>
      <x:c r="O40" s="10" t="n">
        <x:v>9.35380853437736</x:v>
      </x:c>
      <x:c r="P40" s="10" t="n">
        <x:v>19.77357910701043</x:v>
      </x:c>
      <x:c r="Q40" s="10" t="n">
        <x:v>29.12738764138779</x:v>
      </x:c>
      <x:c r="R40" s="44" t="n">
        <x:v>1.2189581565638008</x:v>
      </x:c>
      <x:c r="S40" s="44" t="n">
        <x:v>2.3757390915103858</x:v>
      </x:c>
      <x:c r="T40" s="45" t="n">
        <x:v>345101</x:v>
      </x:c>
      <x:c r="U40" s="45" t="n">
        <x:v>366086</x:v>
      </x:c>
      <x:c r="V40" s="6" t="str">
        <x:v>Percent reversal groups use eligible pixels; insufficient share uses full domain</x:v>
      </x:c>
    </x:row>
    <x:row r="41">
      <x:c r="A41" s="6" t="str">
        <x:v>Production relative index · Cropland min/max</x:v>
      </x:c>
      <x:c r="B41" s="6" t="str">
        <x:v>MRIS</x:v>
      </x:c>
      <x:c r="C41" s="6" t="str">
        <x:v>P80</x:v>
      </x:c>
      <x:c r="D41" s="6" t="str">
        <x:v>MRIS · 2023–2024 Wet</x:v>
      </x:c>
      <x:c r="E41" s="6" t="str">
        <x:v>Wet</x:v>
      </x:c>
      <x:c r="F41" s="7" t="n">
        <x:v>0.0443</x:v>
      </x:c>
      <x:c r="G41" s="6" t="str">
        <x:v>2023-08-01</x:v>
      </x:c>
      <x:c r="H41" s="6" t="str">
        <x:v>2024-01-01</x:v>
      </x:c>
      <x:c r="I41" s="41" t="n">
        <x:v>11</x:v>
      </x:c>
      <x:c r="J41" s="42" t="n">
        <x:v>2994.19</x:v>
      </x:c>
      <x:c r="K41" s="42" t="n">
        <x:v>2994.19</x:v>
      </x:c>
      <x:c r="L41" s="43" t="n">
        <x:v>0</x:v>
      </x:c>
      <x:c r="M41" s="10" t="n">
        <x:v>39.968405478610244</x:v>
      </x:c>
      <x:c r="N41" s="10" t="n">
        <x:v>33.55398288017795</x:v>
      </x:c>
      <x:c r="O41" s="10" t="n">
        <x:v>16.119551531465937</x:v>
      </x:c>
      <x:c r="P41" s="10" t="n">
        <x:v>10.358060109745875</x:v>
      </x:c>
      <x:c r="Q41" s="10" t="n">
        <x:v>26.477611641211812</x:v>
      </x:c>
      <x:c r="R41" s="44" t="n">
        <x:v>1.0052100902080363</x:v>
      </x:c>
      <x:c r="S41" s="44" t="n">
        <x:v>2.2737935802337192</x:v>
      </x:c>
      <x:c r="T41" s="45" t="n">
        <x:v>322002</x:v>
      </x:c>
      <x:c r="U41" s="45" t="n">
        <x:v>358815</x:v>
      </x:c>
      <x:c r="V41" s="6" t="str">
        <x:v>All fixed-support Cropland pixels are eligible</x:v>
      </x:c>
    </x:row>
    <x:row r="42">
      <x:c r="A42" s="6" t="str">
        <x:v>Rice-reference relative index · rice raw min/max</x:v>
      </x:c>
      <x:c r="B42" s="6" t="str">
        <x:v>MRIS</x:v>
      </x:c>
      <x:c r="C42" s="6" t="str">
        <x:v>P80</x:v>
      </x:c>
      <x:c r="D42" s="6" t="str">
        <x:v>MRIS · 2023–2024 Wet</x:v>
      </x:c>
      <x:c r="E42" s="6" t="str">
        <x:v>Wet</x:v>
      </x:c>
      <x:c r="F42" s="7" t="n">
        <x:v>0.0468</x:v>
      </x:c>
      <x:c r="G42" s="6" t="str">
        <x:v>2023-08-01</x:v>
      </x:c>
      <x:c r="H42" s="6" t="str">
        <x:v>2024-01-01</x:v>
      </x:c>
      <x:c r="I42" s="41" t="n">
        <x:v>11</x:v>
      </x:c>
      <x:c r="J42" s="42" t="n">
        <x:v>2994.19</x:v>
      </x:c>
      <x:c r="K42" s="42" t="n">
        <x:v>2994.19</x:v>
      </x:c>
      <x:c r="L42" s="43" t="n">
        <x:v>0</x:v>
      </x:c>
      <x:c r="M42" s="10" t="n">
        <x:v>40.020840360832146</x:v>
      </x:c>
      <x:c r="N42" s="10" t="n">
        <x:v>33.55064307876253</x:v>
      </x:c>
      <x:c r="O42" s="10" t="n">
        <x:v>16.09750884212425</x:v>
      </x:c>
      <x:c r="P42" s="10" t="n">
        <x:v>10.331007718281072</x:v>
      </x:c>
      <x:c r="Q42" s="10" t="n">
        <x:v>26.428516560405317</x:v>
      </x:c>
      <x:c r="R42" s="44" t="n">
        <x:v>1.0037839950036571</x:v>
      </x:c>
      <x:c r="S42" s="44" t="n">
        <x:v>2.2718130779943824</x:v>
      </x:c>
      <x:c r="T42" s="45" t="n">
        <x:v>321726</x:v>
      </x:c>
      <x:c r="U42" s="45" t="n">
        <x:v>358498</x:v>
      </x:c>
      <x:c r="V42" s="6" t="str">
        <x:v>All fixed-support Cropland pixels are eligible</x:v>
      </x:c>
    </x:row>
    <x:row r="43">
      <x:c r="A43" s="6" t="str">
        <x:v>Experimental Lovell WI · QC rice P1/P99</x:v>
      </x:c>
      <x:c r="B43" s="6" t="str">
        <x:v>MRIS</x:v>
      </x:c>
      <x:c r="C43" s="6" t="str">
        <x:v>P80</x:v>
      </x:c>
      <x:c r="D43" s="6" t="str">
        <x:v>MRIS · 2024 Dry</x:v>
      </x:c>
      <x:c r="E43" s="6" t="str">
        <x:v>Dry</x:v>
      </x:c>
      <x:c r="F43" s="7" t="n">
        <x:v>2.5340000000000003</x:v>
      </x:c>
      <x:c r="G43" s="6" t="str">
        <x:v>2024-01-01</x:v>
      </x:c>
      <x:c r="H43" s="6" t="str">
        <x:v>2024-06-01</x:v>
      </x:c>
      <x:c r="I43" s="41" t="n">
        <x:v>9</x:v>
      </x:c>
      <x:c r="J43" s="42" t="n">
        <x:v>2994.19</x:v>
      </x:c>
      <x:c r="K43" s="42" t="n">
        <x:v>2993.64</x:v>
      </x:c>
      <x:c r="L43" s="43" t="n">
        <x:v>0.00018368907784743117</x:v>
      </x:c>
      <x:c r="M43" s="10" t="n">
        <x:v>74.52799935864032</x:v>
      </x:c>
      <x:c r="N43" s="10" t="n">
        <x:v>21.60680642963082</x:v>
      </x:c>
      <x:c r="O43" s="10" t="n">
        <x:v>3.1176093317833806</x:v>
      </x:c>
      <x:c r="P43" s="10" t="n">
        <x:v>0.7475848799454844</x:v>
      </x:c>
      <x:c r="Q43" s="10" t="n">
        <x:v>3.865194211728865</x:v>
      </x:c>
      <x:c r="R43" s="44" t="n">
        <x:v>0.30254138774201306</x:v>
      </x:c>
      <x:c r="S43" s="44" t="n">
        <x:v>0.9856796408385777</x:v>
      </x:c>
      <x:c r="T43" s="45" t="n">
        <x:v>145915</x:v>
      </x:c>
      <x:c r="U43" s="45" t="n">
        <x:v>149162</x:v>
      </x:c>
      <x:c r="V43" s="6" t="str">
        <x:v>Percent reversal groups use eligible pixels; insufficient share uses full domain</x:v>
      </x:c>
    </x:row>
    <x:row r="44">
      <x:c r="A44" s="6" t="str">
        <x:v>Production relative index · Cropland min/max</x:v>
      </x:c>
      <x:c r="B44" s="6" t="str">
        <x:v>MRIS</x:v>
      </x:c>
      <x:c r="C44" s="6" t="str">
        <x:v>P80</x:v>
      </x:c>
      <x:c r="D44" s="6" t="str">
        <x:v>MRIS · 2024 Dry</x:v>
      </x:c>
      <x:c r="E44" s="6" t="str">
        <x:v>Dry</x:v>
      </x:c>
      <x:c r="F44" s="7" t="n">
        <x:v>0.0443</x:v>
      </x:c>
      <x:c r="G44" s="6" t="str">
        <x:v>2024-01-01</x:v>
      </x:c>
      <x:c r="H44" s="6" t="str">
        <x:v>2024-06-01</x:v>
      </x:c>
      <x:c r="I44" s="41" t="n">
        <x:v>9</x:v>
      </x:c>
      <x:c r="J44" s="42" t="n">
        <x:v>2994.19</x:v>
      </x:c>
      <x:c r="K44" s="42" t="n">
        <x:v>2994.19</x:v>
      </x:c>
      <x:c r="L44" s="43" t="n">
        <x:v>0</x:v>
      </x:c>
      <x:c r="M44" s="10" t="n">
        <x:v>56.72786296126832</x:v>
      </x:c>
      <x:c r="N44" s="10" t="n">
        <x:v>31.472284657954237</x:v>
      </x:c>
      <x:c r="O44" s="10" t="n">
        <x:v>9.23588683416884</x:v>
      </x:c>
      <x:c r="P44" s="10" t="n">
        <x:v>2.5639655466085984</x:v>
      </x:c>
      <x:c r="Q44" s="10" t="n">
        <x:v>11.79985238077744</x:v>
      </x:c>
      <x:c r="R44" s="44" t="n">
        <x:v>0.5809016795861318</x:v>
      </x:c>
      <x:c r="S44" s="44" t="n">
        <x:v>1.9331805930819352</x:v>
      </x:c>
      <x:c r="T44" s="45" t="n">
        <x:v>283039</x:v>
      </x:c>
      <x:c r="U44" s="45" t="n">
        <x:v>295792</x:v>
      </x:c>
      <x:c r="V44" s="6" t="str">
        <x:v>All fixed-support Cropland pixels are eligible</x:v>
      </x:c>
    </x:row>
    <x:row r="45">
      <x:c r="A45" s="6" t="str">
        <x:v>Rice-reference relative index · rice raw min/max</x:v>
      </x:c>
      <x:c r="B45" s="6" t="str">
        <x:v>MRIS</x:v>
      </x:c>
      <x:c r="C45" s="6" t="str">
        <x:v>P80</x:v>
      </x:c>
      <x:c r="D45" s="6" t="str">
        <x:v>MRIS · 2024 Dry</x:v>
      </x:c>
      <x:c r="E45" s="6" t="str">
        <x:v>Dry</x:v>
      </x:c>
      <x:c r="F45" s="7" t="n">
        <x:v>0.0468</x:v>
      </x:c>
      <x:c r="G45" s="6" t="str">
        <x:v>2024-01-01</x:v>
      </x:c>
      <x:c r="H45" s="6" t="str">
        <x:v>2024-06-01</x:v>
      </x:c>
      <x:c r="I45" s="41" t="n">
        <x:v>9</x:v>
      </x:c>
      <x:c r="J45" s="42" t="n">
        <x:v>2994.19</x:v>
      </x:c>
      <x:c r="K45" s="42" t="n">
        <x:v>2994.19</x:v>
      </x:c>
      <x:c r="L45" s="43" t="n">
        <x:v>0</x:v>
      </x:c>
      <x:c r="M45" s="10" t="n">
        <x:v>56.77328426051787</x:v>
      </x:c>
      <x:c r="N45" s="10" t="n">
        <x:v>31.44857206790484</x:v>
      </x:c>
      <x:c r="O45" s="10" t="n">
        <x:v>9.220189767516423</x:v>
      </x:c>
      <x:c r="P45" s="10" t="n">
        <x:v>2.5579539040608648</x:v>
      </x:c>
      <x:c r="Q45" s="10" t="n">
        <x:v>11.778143671577288</x:v>
      </x:c>
      <x:c r="R45" s="44" t="n">
        <x:v>0.5801602436719112</x:v>
      </x:c>
      <x:c r="S45" s="44" t="n">
        <x:v>1.931433876941677</x:v>
      </x:c>
      <x:c r="T45" s="45" t="n">
        <x:v>282754</x:v>
      </x:c>
      <x:c r="U45" s="45" t="n">
        <x:v>295554</x:v>
      </x:c>
      <x:c r="V45" s="6" t="str">
        <x:v>All fixed-support Cropland pixels are eligible</x:v>
      </x:c>
    </x:row>
    <x:row r="46">
      <x:c r="A46" s="6" t="str">
        <x:v>Experimental Lovell WI · QC rice P1/P99</x:v>
      </x:c>
      <x:c r="B46" s="6" t="str">
        <x:v>MRIS</x:v>
      </x:c>
      <x:c r="C46" s="6" t="str">
        <x:v>P80</x:v>
      </x:c>
      <x:c r="D46" s="6" t="str">
        <x:v>MRIS · 2024–2025 Wet</x:v>
      </x:c>
      <x:c r="E46" s="6" t="str">
        <x:v>Wet</x:v>
      </x:c>
      <x:c r="F46" s="7" t="n">
        <x:v>2.5340000000000003</x:v>
      </x:c>
      <x:c r="G46" s="6" t="str">
        <x:v>2024-08-01</x:v>
      </x:c>
      <x:c r="H46" s="6" t="str">
        <x:v>2025-01-01</x:v>
      </x:c>
      <x:c r="I46" s="41" t="n">
        <x:v>12</x:v>
      </x:c>
      <x:c r="J46" s="42" t="n">
        <x:v>2994.19</x:v>
      </x:c>
      <x:c r="K46" s="42" t="n">
        <x:v>2993.71</x:v>
      </x:c>
      <x:c r="L46" s="43" t="n">
        <x:v>0.00016031046793957632</x:v>
      </x:c>
      <x:c r="M46" s="10" t="n">
        <x:v>25.334451232751334</x:v>
      </x:c>
      <x:c r="N46" s="10" t="n">
        <x:v>34.596871440453484</x:v>
      </x:c>
      <x:c r="O46" s="10" t="n">
        <x:v>11.49376526116424</x:v>
      </x:c>
      <x:c r="P46" s="10" t="n">
        <x:v>28.57491206563094</x:v>
      </x:c>
      <x:c r="Q46" s="10" t="n">
        <x:v>40.06867732679518</x:v>
      </x:c>
      <x:c r="R46" s="44" t="n">
        <x:v>1.6029976183397858</x:v>
      </x:c>
      <x:c r="S46" s="44" t="n">
        <x:v>3.034706100457292</x:v>
      </x:c>
      <x:c r="T46" s="45" t="n">
        <x:v>445946</x:v>
      </x:c>
      <x:c r="U46" s="45" t="n">
        <x:v>462557</x:v>
      </x:c>
      <x:c r="V46" s="6" t="str">
        <x:v>Percent reversal groups use eligible pixels; insufficient share uses full domain</x:v>
      </x:c>
    </x:row>
    <x:row r="47">
      <x:c r="A47" s="6" t="str">
        <x:v>Production relative index · Cropland min/max</x:v>
      </x:c>
      <x:c r="B47" s="6" t="str">
        <x:v>MRIS</x:v>
      </x:c>
      <x:c r="C47" s="6" t="str">
        <x:v>P80</x:v>
      </x:c>
      <x:c r="D47" s="6" t="str">
        <x:v>MRIS · 2024–2025 Wet</x:v>
      </x:c>
      <x:c r="E47" s="6" t="str">
        <x:v>Wet</x:v>
      </x:c>
      <x:c r="F47" s="7" t="n">
        <x:v>0.0443</x:v>
      </x:c>
      <x:c r="G47" s="6" t="str">
        <x:v>2024-08-01</x:v>
      </x:c>
      <x:c r="H47" s="6" t="str">
        <x:v>2025-01-01</x:v>
      </x:c>
      <x:c r="I47" s="41" t="n">
        <x:v>12</x:v>
      </x:c>
      <x:c r="J47" s="42" t="n">
        <x:v>2994.19</x:v>
      </x:c>
      <x:c r="K47" s="42" t="n">
        <x:v>2994.19</x:v>
      </x:c>
      <x:c r="L47" s="43" t="n">
        <x:v>0</x:v>
      </x:c>
      <x:c r="M47" s="10" t="n">
        <x:v>33.24939299109275</x:v>
      </x:c>
      <x:c r="N47" s="10" t="n">
        <x:v>32.04572856097976</x:v>
      </x:c>
      <x:c r="O47" s="10" t="n">
        <x:v>21.012360605038424</x:v>
      </x:c>
      <x:c r="P47" s="10" t="n">
        <x:v>13.692517842889062</x:v>
      </x:c>
      <x:c r="Q47" s="10" t="n">
        <x:v>34.704878447927484</x:v>
      </x:c>
      <x:c r="R47" s="44" t="n">
        <x:v>1.211947137623197</x:v>
      </x:c>
      <x:c r="S47" s="44" t="n">
        <x:v>2.5661965339540913</x:v>
      </x:c>
      <x:c r="T47" s="45" t="n">
        <x:v>379272</x:v>
      </x:c>
      <x:c r="U47" s="45" t="n">
        <x:v>389096</x:v>
      </x:c>
      <x:c r="V47" s="6" t="str">
        <x:v>All fixed-support Cropland pixels are eligible</x:v>
      </x:c>
    </x:row>
    <x:row r="48">
      <x:c r="A48" s="6" t="str">
        <x:v>Rice-reference relative index · rice raw min/max</x:v>
      </x:c>
      <x:c r="B48" s="6" t="str">
        <x:v>MRIS</x:v>
      </x:c>
      <x:c r="C48" s="6" t="str">
        <x:v>P80</x:v>
      </x:c>
      <x:c r="D48" s="6" t="str">
        <x:v>MRIS · 2024–2025 Wet</x:v>
      </x:c>
      <x:c r="E48" s="6" t="str">
        <x:v>Wet</x:v>
      </x:c>
      <x:c r="F48" s="7" t="n">
        <x:v>0.0468</x:v>
      </x:c>
      <x:c r="G48" s="6" t="str">
        <x:v>2024-08-01</x:v>
      </x:c>
      <x:c r="H48" s="6" t="str">
        <x:v>2025-01-01</x:v>
      </x:c>
      <x:c r="I48" s="41" t="n">
        <x:v>12</x:v>
      </x:c>
      <x:c r="J48" s="42" t="n">
        <x:v>2994.19</x:v>
      </x:c>
      <x:c r="K48" s="42" t="n">
        <x:v>2994.19</x:v>
      </x:c>
      <x:c r="L48" s="43" t="n">
        <x:v>0</x:v>
      </x:c>
      <x:c r="M48" s="10" t="n">
        <x:v>33.289804588219184</x:v>
      </x:c>
      <x:c r="N48" s="10" t="n">
        <x:v>32.0443926404136</x:v>
      </x:c>
      <x:c r="O48" s="10" t="n">
        <x:v>20.999669359659876</x:v>
      </x:c>
      <x:c r="P48" s="10" t="n">
        <x:v>13.66613341170734</x:v>
      </x:c>
      <x:c r="Q48" s="10" t="n">
        <x:v>34.66580277136721</x:v>
      </x:c>
      <x:c r="R48" s="44" t="n">
        <x:v>1.2107548285178964</x:v>
      </x:c>
      <x:c r="S48" s="44" t="n">
        <x:v>2.564206012310508</x:v>
      </x:c>
      <x:c r="T48" s="45" t="n">
        <x:v>378991</x:v>
      </x:c>
      <x:c r="U48" s="45" t="n">
        <x:v>388781</x:v>
      </x:c>
      <x:c r="V48" s="6" t="str">
        <x:v>All fixed-support Cropland pixels are eligible</x:v>
      </x:c>
    </x:row>
    <x:row r="49">
      <x:c r="A49" s="6" t="str">
        <x:v>Experimental Lovell WI · QC rice P1/P99</x:v>
      </x:c>
      <x:c r="B49" s="6" t="str">
        <x:v>MRIS</x:v>
      </x:c>
      <x:c r="C49" s="6" t="str">
        <x:v>P80</x:v>
      </x:c>
      <x:c r="D49" s="6" t="str">
        <x:v>MRIS · 2025 Dry</x:v>
      </x:c>
      <x:c r="E49" s="6" t="str">
        <x:v>Dry</x:v>
      </x:c>
      <x:c r="F49" s="7" t="n">
        <x:v>2.5340000000000003</x:v>
      </x:c>
      <x:c r="G49" s="6" t="str">
        <x:v>2025-01-01</x:v>
      </x:c>
      <x:c r="H49" s="6" t="str">
        <x:v>2025-06-01</x:v>
      </x:c>
      <x:c r="I49" s="41" t="n">
        <x:v>12</x:v>
      </x:c>
      <x:c r="J49" s="42" t="n">
        <x:v>2994.19</x:v>
      </x:c>
      <x:c r="K49" s="42" t="n">
        <x:v>2993.9</x:v>
      </x:c>
      <x:c r="L49" s="43" t="n">
        <x:v>0.00009685424104682736</x:v>
      </x:c>
      <x:c r="M49" s="10" t="n">
        <x:v>44.9373726577374</x:v>
      </x:c>
      <x:c r="N49" s="10" t="n">
        <x:v>29.9164968769832</x:v>
      </x:c>
      <x:c r="O49" s="10" t="n">
        <x:v>12.27028290858078</x:v>
      </x:c>
      <x:c r="P49" s="10" t="n">
        <x:v>12.87584755669862</x:v>
      </x:c>
      <x:c r="Q49" s="10" t="n">
        <x:v>25.1461304652794</x:v>
      </x:c>
      <x:c r="R49" s="44" t="n">
        <x:v>0.9891612946324193</x:v>
      </x:c>
      <x:c r="S49" s="44" t="n">
        <x:v>1.9379204382243895</x:v>
      </x:c>
      <x:c r="T49" s="45" t="n">
        <x:v>289931</x:v>
      </x:c>
      <x:c r="U49" s="45" t="n">
        <x:v>290263</x:v>
      </x:c>
      <x:c r="V49" s="6" t="str">
        <x:v>Percent reversal groups use eligible pixels; insufficient share uses full domain</x:v>
      </x:c>
    </x:row>
    <x:row r="50">
      <x:c r="A50" s="6" t="str">
        <x:v>Production relative index · Cropland min/max</x:v>
      </x:c>
      <x:c r="B50" s="6" t="str">
        <x:v>MRIS</x:v>
      </x:c>
      <x:c r="C50" s="6" t="str">
        <x:v>P80</x:v>
      </x:c>
      <x:c r="D50" s="6" t="str">
        <x:v>MRIS · 2025 Dry</x:v>
      </x:c>
      <x:c r="E50" s="6" t="str">
        <x:v>Dry</x:v>
      </x:c>
      <x:c r="F50" s="7" t="n">
        <x:v>0.0443</x:v>
      </x:c>
      <x:c r="G50" s="6" t="str">
        <x:v>2025-01-01</x:v>
      </x:c>
      <x:c r="H50" s="6" t="str">
        <x:v>2025-06-01</x:v>
      </x:c>
      <x:c r="I50" s="41" t="n">
        <x:v>12</x:v>
      </x:c>
      <x:c r="J50" s="42" t="n">
        <x:v>2994.19</x:v>
      </x:c>
      <x:c r="K50" s="42" t="n">
        <x:v>2994.19</x:v>
      </x:c>
      <x:c r="L50" s="43" t="n">
        <x:v>0</x:v>
      </x:c>
      <x:c r="M50" s="10" t="n">
        <x:v>29.184520688399868</x:v>
      </x:c>
      <x:c r="N50" s="10" t="n">
        <x:v>28.46212164224715</x:v>
      </x:c>
      <x:c r="O50" s="10" t="n">
        <x:v>21.149292463070147</x:v>
      </x:c>
      <x:c r="P50" s="10" t="n">
        <x:v>21.204065206282834</x:v>
      </x:c>
      <x:c r="Q50" s="10" t="n">
        <x:v>42.35335766935298</x:v>
      </x:c>
      <x:c r="R50" s="44" t="n">
        <x:v>1.4572789301948106</x:v>
      </x:c>
      <x:c r="S50" s="44" t="n">
        <x:v>2.826901432440827</x:v>
      </x:c>
      <x:c r="T50" s="45" t="n">
        <x:v>419309</x:v>
      </x:c>
      <x:c r="U50" s="45" t="n">
        <x:v>427119</x:v>
      </x:c>
      <x:c r="V50" s="6" t="str">
        <x:v>All fixed-support Cropland pixels are eligible</x:v>
      </x:c>
    </x:row>
    <x:row r="51">
      <x:c r="A51" s="6" t="str">
        <x:v>Rice-reference relative index · rice raw min/max</x:v>
      </x:c>
      <x:c r="B51" s="6" t="str">
        <x:v>MRIS</x:v>
      </x:c>
      <x:c r="C51" s="6" t="str">
        <x:v>P80</x:v>
      </x:c>
      <x:c r="D51" s="6" t="str">
        <x:v>MRIS · 2025 Dry</x:v>
      </x:c>
      <x:c r="E51" s="6" t="str">
        <x:v>Dry</x:v>
      </x:c>
      <x:c r="F51" s="7" t="n">
        <x:v>0.0468</x:v>
      </x:c>
      <x:c r="G51" s="6" t="str">
        <x:v>2025-01-01</x:v>
      </x:c>
      <x:c r="H51" s="6" t="str">
        <x:v>2025-06-01</x:v>
      </x:c>
      <x:c r="I51" s="41" t="n">
        <x:v>12</x:v>
      </x:c>
      <x:c r="J51" s="42" t="n">
        <x:v>2994.19</x:v>
      </x:c>
      <x:c r="K51" s="42" t="n">
        <x:v>2994.19</x:v>
      </x:c>
      <x:c r="L51" s="43" t="n">
        <x:v>0</x:v>
      </x:c>
      <x:c r="M51" s="10" t="n">
        <x:v>29.22393034510168</x:v>
      </x:c>
      <x:c r="N51" s="10" t="n">
        <x:v>28.469135225219507</x:v>
      </x:c>
      <x:c r="O51" s="10" t="n">
        <x:v>21.136267237550054</x:v>
      </x:c>
      <x:c r="P51" s="10" t="n">
        <x:v>21.170667192128757</x:v>
      </x:c>
      <x:c r="Q51" s="10" t="n">
        <x:v>42.30693442967881</x:v>
      </x:c>
      <x:c r="R51" s="44" t="n">
        <x:v>1.4557726797564616</x:v>
      </x:c>
      <x:c r="S51" s="44" t="n">
        <x:v>2.824650406286842</x:v>
      </x:c>
      <x:c r="T51" s="45" t="n">
        <x:v>418953</x:v>
      </x:c>
      <x:c r="U51" s="45" t="n">
        <x:v>426801</x:v>
      </x:c>
      <x:c r="V51" s="6" t="str">
        <x:v>All fixed-support Cropland pixels are eligible</x:v>
      </x:c>
    </x:row>
    <x:row r="52">
      <x:c r="A52" s="6" t="str">
        <x:v>Experimental Lovell WI · QC rice P1/P99</x:v>
      </x:c>
      <x:c r="B52" s="6" t="str">
        <x:v>MRIS</x:v>
      </x:c>
      <x:c r="C52" s="6" t="str">
        <x:v>P80</x:v>
      </x:c>
      <x:c r="D52" s="6" t="str">
        <x:v>MRIS · 2025–2026 Wet</x:v>
      </x:c>
      <x:c r="E52" s="6" t="str">
        <x:v>Wet</x:v>
      </x:c>
      <x:c r="F52" s="7" t="n">
        <x:v>2.5340000000000003</x:v>
      </x:c>
      <x:c r="G52" s="6" t="str">
        <x:v>2025-08-01</x:v>
      </x:c>
      <x:c r="H52" s="6" t="str">
        <x:v>2026-01-01</x:v>
      </x:c>
      <x:c r="I52" s="41" t="n">
        <x:v>10</x:v>
      </x:c>
      <x:c r="J52" s="42" t="n">
        <x:v>2994.19</x:v>
      </x:c>
      <x:c r="K52" s="42" t="n">
        <x:v>2992.7400000000002</x:v>
      </x:c>
      <x:c r="L52" s="43" t="n">
        <x:v>0.0004842712052341368</x:v>
      </x:c>
      <x:c r="M52" s="10" t="n">
        <x:v>23.937929790092024</x:v>
      </x:c>
      <x:c r="N52" s="10" t="n">
        <x:v>33.28922659502663</x:v>
      </x:c>
      <x:c r="O52" s="10" t="n">
        <x:v>11.96629175939106</x:v>
      </x:c>
      <x:c r="P52" s="10" t="n">
        <x:v>30.806551855490287</x:v>
      </x:c>
      <x:c r="Q52" s="10" t="n">
        <x:v>42.772843614881346</x:v>
      </x:c>
      <x:c r="R52" s="44" t="n">
        <x:v>1.6649257870713794</x:v>
      </x:c>
      <x:c r="S52" s="44" t="n">
        <x:v>3.114547204234247</x:v>
      </x:c>
      <x:c r="T52" s="45" t="n">
        <x:v>473322</x:v>
      </x:c>
      <x:c r="U52" s="45" t="n">
        <x:v>458781</x:v>
      </x:c>
      <x:c r="V52" s="6" t="str">
        <x:v>Percent reversal groups use eligible pixels; insufficient share uses full domain</x:v>
      </x:c>
    </x:row>
    <x:row r="53">
      <x:c r="A53" s="6" t="str">
        <x:v>Production relative index · Cropland min/max</x:v>
      </x:c>
      <x:c r="B53" s="6" t="str">
        <x:v>MRIS</x:v>
      </x:c>
      <x:c r="C53" s="6" t="str">
        <x:v>P80</x:v>
      </x:c>
      <x:c r="D53" s="6" t="str">
        <x:v>MRIS · 2025–2026 Wet</x:v>
      </x:c>
      <x:c r="E53" s="6" t="str">
        <x:v>Wet</x:v>
      </x:c>
      <x:c r="F53" s="7" t="n">
        <x:v>0.0443</x:v>
      </x:c>
      <x:c r="G53" s="6" t="str">
        <x:v>2025-08-01</x:v>
      </x:c>
      <x:c r="H53" s="6" t="str">
        <x:v>2026-01-01</x:v>
      </x:c>
      <x:c r="I53" s="41" t="n">
        <x:v>10</x:v>
      </x:c>
      <x:c r="J53" s="42" t="n">
        <x:v>2994.19</x:v>
      </x:c>
      <x:c r="K53" s="42" t="n">
        <x:v>2994.19</x:v>
      </x:c>
      <x:c r="L53" s="43" t="n">
        <x:v>0</x:v>
      </x:c>
      <x:c r="M53" s="10" t="n">
        <x:v>46.49103764290175</x:v>
      </x:c>
      <x:c r="N53" s="10" t="n">
        <x:v>32.43147562445937</x:v>
      </x:c>
      <x:c r="O53" s="10" t="n">
        <x:v>13.702203266993745</x:v>
      </x:c>
      <x:c r="P53" s="10" t="n">
        <x:v>7.375283465645133</x:v>
      </x:c>
      <x:c r="Q53" s="10" t="n">
        <x:v>21.077486732638878</x:v>
      </x:c>
      <x:c r="R53" s="44" t="n">
        <x:v>0.8432597797734946</x:v>
      </x:c>
      <x:c r="S53" s="44" t="n">
        <x:v>2.011408761635033</x:v>
      </x:c>
      <x:c r="T53" s="45" t="n">
        <x:v>314450</x:v>
      </x:c>
      <x:c r="U53" s="45" t="n">
        <x:v>287804</x:v>
      </x:c>
      <x:c r="V53" s="6" t="str">
        <x:v>All fixed-support Cropland pixels are eligible</x:v>
      </x:c>
    </x:row>
    <x:row r="54">
      <x:c r="A54" s="6" t="str">
        <x:v>Rice-reference relative index · rice raw min/max</x:v>
      </x:c>
      <x:c r="B54" s="6" t="str">
        <x:v>MRIS</x:v>
      </x:c>
      <x:c r="C54" s="6" t="str">
        <x:v>P80</x:v>
      </x:c>
      <x:c r="D54" s="6" t="str">
        <x:v>MRIS · 2025–2026 Wet</x:v>
      </x:c>
      <x:c r="E54" s="6" t="str">
        <x:v>Wet</x:v>
      </x:c>
      <x:c r="F54" s="7" t="n">
        <x:v>0.0468</x:v>
      </x:c>
      <x:c r="G54" s="6" t="str">
        <x:v>2025-08-01</x:v>
      </x:c>
      <x:c r="H54" s="6" t="str">
        <x:v>2026-01-01</x:v>
      </x:c>
      <x:c r="I54" s="41" t="n">
        <x:v>10</x:v>
      </x:c>
      <x:c r="J54" s="42" t="n">
        <x:v>2994.19</x:v>
      </x:c>
      <x:c r="K54" s="42" t="n">
        <x:v>2994.19</x:v>
      </x:c>
      <x:c r="L54" s="43" t="n">
        <x:v>0</x:v>
      </x:c>
      <x:c r="M54" s="10" t="n">
        <x:v>46.53345312087743</x:v>
      </x:c>
      <x:c r="N54" s="10" t="n">
        <x:v>32.42446204148701</x:v>
      </x:c>
      <x:c r="O54" s="10" t="n">
        <x:v>13.681830478359757</x:v>
      </x:c>
      <x:c r="P54" s="10" t="n">
        <x:v>7.360254359275798</x:v>
      </x:c>
      <x:c r="Q54" s="10" t="n">
        <x:v>21.042084837635553</x:v>
      </x:c>
      <x:c r="R54" s="44" t="n">
        <x:v>0.8422645189517032</x:v>
      </x:c>
      <x:c r="S54" s="44" t="n">
        <x:v>2.009652026090529</x:v>
      </x:c>
      <x:c r="T54" s="45" t="n">
        <x:v>314200</x:v>
      </x:c>
      <x:c r="U54" s="45" t="n">
        <x:v>287528</x:v>
      </x:c>
      <x:c r="V54" s="6" t="str">
        <x:v>All fixed-support Cropland pixels are eligible</x:v>
      </x:c>
    </x:row>
    <x:row r="55">
      <x:c r="A55" s="6" t="str">
        <x:v>Experimental Lovell WI · QC rice P1/P99</x:v>
      </x:c>
      <x:c r="B55" s="6" t="str">
        <x:v>MRIS</x:v>
      </x:c>
      <x:c r="C55" s="6" t="str">
        <x:v>P90</x:v>
      </x:c>
      <x:c r="D55" s="6" t="str">
        <x:v>MRIS · 2023 Dry</x:v>
      </x:c>
      <x:c r="E55" s="6" t="str">
        <x:v>Dry</x:v>
      </x:c>
      <x:c r="F55" s="7" t="n">
        <x:v>4.697</x:v>
      </x:c>
      <x:c r="G55" s="6" t="str">
        <x:v>2023-01-01</x:v>
      </x:c>
      <x:c r="H55" s="6" t="str">
        <x:v>2023-06-01</x:v>
      </x:c>
      <x:c r="I55" s="41" t="n">
        <x:v>12</x:v>
      </x:c>
      <x:c r="J55" s="42" t="n">
        <x:v>2994.19</x:v>
      </x:c>
      <x:c r="K55" s="42" t="n">
        <x:v>2993.89</x:v>
      </x:c>
      <x:c r="L55" s="43" t="n">
        <x:v>0.0001001940424622352</x:v>
      </x:c>
      <x:c r="M55" s="10" t="n">
        <x:v>76.8929386183193</x:v>
      </x:c>
      <x:c r="N55" s="10" t="n">
        <x:v>18.369746383467664</x:v>
      </x:c>
      <x:c r="O55" s="10" t="n">
        <x:v>2.6009639632718637</x:v>
      </x:c>
      <x:c r="P55" s="10" t="n">
        <x:v>2.1363510349411636</x:v>
      </x:c>
      <x:c r="Q55" s="10" t="n">
        <x:v>4.737314998213027</x:v>
      </x:c>
      <x:c r="R55" s="44" t="n">
        <x:v>0.30427303608349004</x:v>
      </x:c>
      <x:c r="S55" s="44" t="n">
        <x:v>0.7236204402967377</x:v>
      </x:c>
      <x:c r="T55" s="45" t="n">
        <x:v>99460</x:v>
      </x:c>
      <x:c r="U55" s="45" t="n">
        <x:v>117184</x:v>
      </x:c>
      <x:c r="V55" s="6" t="str">
        <x:v>Percent reversal groups use eligible pixels; insufficient share uses full domain</x:v>
      </x:c>
    </x:row>
    <x:row r="56">
      <x:c r="A56" s="6" t="str">
        <x:v>Production relative index · Cropland min/max</x:v>
      </x:c>
      <x:c r="B56" s="6" t="str">
        <x:v>MRIS</x:v>
      </x:c>
      <x:c r="C56" s="6" t="str">
        <x:v>P90</x:v>
      </x:c>
      <x:c r="D56" s="6" t="str">
        <x:v>MRIS · 2023 Dry</x:v>
      </x:c>
      <x:c r="E56" s="6" t="str">
        <x:v>Dry</x:v>
      </x:c>
      <x:c r="F56" s="7" t="n">
        <x:v>0.0588</x:v>
      </x:c>
      <x:c r="G56" s="6" t="str">
        <x:v>2023-01-01</x:v>
      </x:c>
      <x:c r="H56" s="6" t="str">
        <x:v>2023-06-01</x:v>
      </x:c>
      <x:c r="I56" s="41" t="n">
        <x:v>12</x:v>
      </x:c>
      <x:c r="J56" s="42" t="n">
        <x:v>2994.19</x:v>
      </x:c>
      <x:c r="K56" s="42" t="n">
        <x:v>2994.19</x:v>
      </x:c>
      <x:c r="L56" s="43" t="n">
        <x:v>0</x:v>
      </x:c>
      <x:c r="M56" s="10" t="n">
        <x:v>68.54842211082129</x:v>
      </x:c>
      <x:c r="N56" s="10" t="n">
        <x:v>20.458621530363803</x:v>
      </x:c>
      <x:c r="O56" s="10" t="n">
        <x:v>8.056602954388332</x:v>
      </x:c>
      <x:c r="P56" s="10" t="n">
        <x:v>2.9363534044265727</x:v>
      </x:c>
      <x:c r="Q56" s="10" t="n">
        <x:v>10.992956358814904</x:v>
      </x:c>
      <x:c r="R56" s="44" t="n">
        <x:v>0.46265267067220184</x:v>
      </x:c>
      <x:c r="S56" s="44" t="n">
        <x:v>1.3106616480584063</x:v>
      </x:c>
      <x:c r="T56" s="45" t="n">
        <x:v>164078</x:v>
      </x:c>
      <x:c r="U56" s="45" t="n">
        <x:v>228359</x:v>
      </x:c>
      <x:c r="V56" s="6" t="str">
        <x:v>All fixed-support Cropland pixels are eligible</x:v>
      </x:c>
    </x:row>
    <x:row r="57">
      <x:c r="A57" s="6" t="str">
        <x:v>Rice-reference relative index · rice raw min/max</x:v>
      </x:c>
      <x:c r="B57" s="6" t="str">
        <x:v>MRIS</x:v>
      </x:c>
      <x:c r="C57" s="6" t="str">
        <x:v>P90</x:v>
      </x:c>
      <x:c r="D57" s="6" t="str">
        <x:v>MRIS · 2023 Dry</x:v>
      </x:c>
      <x:c r="E57" s="6" t="str">
        <x:v>Dry</x:v>
      </x:c>
      <x:c r="F57" s="7" t="n">
        <x:v>0.0621</x:v>
      </x:c>
      <x:c r="G57" s="6" t="str">
        <x:v>2023-01-01</x:v>
      </x:c>
      <x:c r="H57" s="6" t="str">
        <x:v>2023-06-01</x:v>
      </x:c>
      <x:c r="I57" s="41" t="n">
        <x:v>12</x:v>
      </x:c>
      <x:c r="J57" s="42" t="n">
        <x:v>2994.19</x:v>
      </x:c>
      <x:c r="K57" s="42" t="n">
        <x:v>2994.19</x:v>
      </x:c>
      <x:c r="L57" s="43" t="n">
        <x:v>0</x:v>
      </x:c>
      <x:c r="M57" s="10" t="n">
        <x:v>68.56211529662447</x:v>
      </x:c>
      <x:c r="N57" s="10" t="n">
        <x:v>20.450939987108367</x:v>
      </x:c>
      <x:c r="O57" s="10" t="n">
        <x:v>8.053931113256006</x:v>
      </x:c>
      <x:c r="P57" s="10" t="n">
        <x:v>2.933013603011165</x:v>
      </x:c>
      <x:c r="Q57" s="10" t="n">
        <x:v>10.986944716267171</x:v>
      </x:c>
      <x:c r="R57" s="44" t="n">
        <x:v>0.46239884576463086</x:v>
      </x:c>
      <x:c r="S57" s="44" t="n">
        <x:v>1.3102007554630801</x:v>
      </x:c>
      <x:c r="T57" s="45" t="n">
        <x:v>164014</x:v>
      </x:c>
      <x:c r="U57" s="45" t="n">
        <x:v>228285</x:v>
      </x:c>
      <x:c r="V57" s="6" t="str">
        <x:v>All fixed-support Cropland pixels are eligible</x:v>
      </x:c>
    </x:row>
    <x:row r="58">
      <x:c r="A58" s="6" t="str">
        <x:v>Experimental Lovell WI · QC rice P1/P99</x:v>
      </x:c>
      <x:c r="B58" s="6" t="str">
        <x:v>MRIS</x:v>
      </x:c>
      <x:c r="C58" s="6" t="str">
        <x:v>P90</x:v>
      </x:c>
      <x:c r="D58" s="6" t="str">
        <x:v>MRIS · 2023–2024 Wet</x:v>
      </x:c>
      <x:c r="E58" s="6" t="str">
        <x:v>Wet</x:v>
      </x:c>
      <x:c r="F58" s="7" t="n">
        <x:v>4.697</x:v>
      </x:c>
      <x:c r="G58" s="6" t="str">
        <x:v>2023-08-01</x:v>
      </x:c>
      <x:c r="H58" s="6" t="str">
        <x:v>2024-01-01</x:v>
      </x:c>
      <x:c r="I58" s="41" t="n">
        <x:v>11</x:v>
      </x:c>
      <x:c r="J58" s="42" t="n">
        <x:v>2994.19</x:v>
      </x:c>
      <x:c r="K58" s="42" t="n">
        <x:v>2993.54</x:v>
      </x:c>
      <x:c r="L58" s="43" t="n">
        <x:v>0.00021708709200150958</x:v>
      </x:c>
      <x:c r="M58" s="10" t="n">
        <x:v>61.46335108266467</x:v>
      </x:c>
      <x:c r="N58" s="10" t="n">
        <x:v>29.071600847157544</x:v>
      </x:c>
      <x:c r="O58" s="10" t="n">
        <x:v>3.2316254334333263</x:v>
      </x:c>
      <x:c r="P58" s="10" t="n">
        <x:v>6.233422636744456</x:v>
      </x:c>
      <x:c r="Q58" s="10" t="n">
        <x:v>9.465048070177783</x:v>
      </x:c>
      <x:c r="R58" s="44" t="n">
        <x:v>0.5555395952617971</x:v>
      </x:c>
      <x:c r="S58" s="44" t="n">
        <x:v>1.1861408232393755</x:v>
      </x:c>
      <x:c r="T58" s="45" t="n">
        <x:v>172948</x:v>
      </x:c>
      <x:c r="U58" s="45" t="n">
        <x:v>182128</x:v>
      </x:c>
      <x:c r="V58" s="6" t="str">
        <x:v>Percent reversal groups use eligible pixels; insufficient share uses full domain</x:v>
      </x:c>
    </x:row>
    <x:row r="59">
      <x:c r="A59" s="6" t="str">
        <x:v>Production relative index · Cropland min/max</x:v>
      </x:c>
      <x:c r="B59" s="6" t="str">
        <x:v>MRIS</x:v>
      </x:c>
      <x:c r="C59" s="6" t="str">
        <x:v>P90</x:v>
      </x:c>
      <x:c r="D59" s="6" t="str">
        <x:v>MRIS · 2023–2024 Wet</x:v>
      </x:c>
      <x:c r="E59" s="6" t="str">
        <x:v>Wet</x:v>
      </x:c>
      <x:c r="F59" s="7" t="n">
        <x:v>0.0588</x:v>
      </x:c>
      <x:c r="G59" s="6" t="str">
        <x:v>2023-08-01</x:v>
      </x:c>
      <x:c r="H59" s="6" t="str">
        <x:v>2024-01-01</x:v>
      </x:c>
      <x:c r="I59" s="41" t="n">
        <x:v>11</x:v>
      </x:c>
      <x:c r="J59" s="42" t="n">
        <x:v>2994.19</x:v>
      </x:c>
      <x:c r="K59" s="42" t="n">
        <x:v>2994.19</x:v>
      </x:c>
      <x:c r="L59" s="43" t="n">
        <x:v>0</x:v>
      </x:c>
      <x:c r="M59" s="10" t="n">
        <x:v>71.846142028395</x:v>
      </x:c>
      <x:c r="N59" s="10" t="n">
        <x:v>21.014030505746128</x:v>
      </x:c>
      <x:c r="O59" s="10" t="n">
        <x:v>5.585817867269612</x:v>
      </x:c>
      <x:c r="P59" s="10" t="n">
        <x:v>1.554009598589268</x:v>
      </x:c>
      <x:c r="Q59" s="10" t="n">
        <x:v>7.13982746585888</x:v>
      </x:c>
      <x:c r="R59" s="44" t="n">
        <x:v>0.3715128298471373</x:v>
      </x:c>
      <x:c r="S59" s="44" t="n">
        <x:v>1.1514199165717607</x:v>
      </x:c>
      <x:c r="T59" s="45" t="n">
        <x:v>170226</x:v>
      </x:c>
      <x:c r="U59" s="45" t="n">
        <x:v>174531</x:v>
      </x:c>
      <x:c r="V59" s="6" t="str">
        <x:v>All fixed-support Cropland pixels are eligible</x:v>
      </x:c>
    </x:row>
    <x:row r="60">
      <x:c r="A60" s="6" t="str">
        <x:v>Rice-reference relative index · rice raw min/max</x:v>
      </x:c>
      <x:c r="B60" s="6" t="str">
        <x:v>MRIS</x:v>
      </x:c>
      <x:c r="C60" s="6" t="str">
        <x:v>P90</x:v>
      </x:c>
      <x:c r="D60" s="6" t="str">
        <x:v>MRIS · 2023–2024 Wet</x:v>
      </x:c>
      <x:c r="E60" s="6" t="str">
        <x:v>Wet</x:v>
      </x:c>
      <x:c r="F60" s="7" t="n">
        <x:v>0.0621</x:v>
      </x:c>
      <x:c r="G60" s="6" t="str">
        <x:v>2023-08-01</x:v>
      </x:c>
      <x:c r="H60" s="6" t="str">
        <x:v>2024-01-01</x:v>
      </x:c>
      <x:c r="I60" s="41" t="n">
        <x:v>11</x:v>
      </x:c>
      <x:c r="J60" s="42" t="n">
        <x:v>2994.19</x:v>
      </x:c>
      <x:c r="K60" s="42" t="n">
        <x:v>2994.19</x:v>
      </x:c>
      <x:c r="L60" s="43" t="n">
        <x:v>0</x:v>
      </x:c>
      <x:c r="M60" s="10" t="n">
        <x:v>71.86183909504742</x:v>
      </x:c>
      <x:c r="N60" s="10" t="n">
        <x:v>21.00601498234915</x:v>
      </x:c>
      <x:c r="O60" s="10" t="n">
        <x:v>5.580140204863419</x:v>
      </x:c>
      <x:c r="P60" s="10" t="n">
        <x:v>1.5520057177400233</x:v>
      </x:c>
      <x:c r="Q60" s="10" t="n">
        <x:v>7.132145922603442</x:v>
      </x:c>
      <x:c r="R60" s="44" t="n">
        <x:v>0.3712556651381509</x:v>
      </x:c>
      <x:c r="S60" s="44" t="n">
        <x:v>1.1509623637778497</x:v>
      </x:c>
      <x:c r="T60" s="45" t="n">
        <x:v>170158</x:v>
      </x:c>
      <x:c r="U60" s="45" t="n">
        <x:v>174462</x:v>
      </x:c>
      <x:c r="V60" s="6" t="str">
        <x:v>All fixed-support Cropland pixels are eligible</x:v>
      </x:c>
    </x:row>
    <x:row r="61">
      <x:c r="A61" s="6" t="str">
        <x:v>Experimental Lovell WI · QC rice P1/P99</x:v>
      </x:c>
      <x:c r="B61" s="6" t="str">
        <x:v>MRIS</x:v>
      </x:c>
      <x:c r="C61" s="6" t="str">
        <x:v>P90</x:v>
      </x:c>
      <x:c r="D61" s="6" t="str">
        <x:v>MRIS · 2024 Dry</x:v>
      </x:c>
      <x:c r="E61" s="6" t="str">
        <x:v>Dry</x:v>
      </x:c>
      <x:c r="F61" s="7" t="n">
        <x:v>4.697</x:v>
      </x:c>
      <x:c r="G61" s="6" t="str">
        <x:v>2024-01-01</x:v>
      </x:c>
      <x:c r="H61" s="6" t="str">
        <x:v>2024-06-01</x:v>
      </x:c>
      <x:c r="I61" s="41" t="n">
        <x:v>9</x:v>
      </x:c>
      <x:c r="J61" s="42" t="n">
        <x:v>2994.19</x:v>
      </x:c>
      <x:c r="K61" s="42" t="n">
        <x:v>2993.64</x:v>
      </x:c>
      <x:c r="L61" s="43" t="n">
        <x:v>0.00018368907784743117</x:v>
      </x:c>
      <x:c r="M61" s="10" t="n">
        <x:v>89.27526355874454</x:v>
      </x:c>
      <x:c r="N61" s="10" t="n">
        <x:v>9.913015593057281</x:v>
      </x:c>
      <x:c r="O61" s="10" t="n">
        <x:v>0.689795700217795</x:v>
      </x:c>
      <x:c r="P61" s="10" t="n">
        <x:v>0.12192514798038508</x:v>
      </x:c>
      <x:c r="Q61" s="10" t="n">
        <x:v>0.8117208481981801</x:v>
      </x:c>
      <x:c r="R61" s="44" t="n">
        <x:v>0.1167708876150773</x:v>
      </x:c>
      <x:c r="S61" s="44" t="n">
        <x:v>0.40054248339813736</x:v>
      </x:c>
      <x:c r="T61" s="45" t="n">
        <x:v>58589</x:v>
      </x:c>
      <x:c r="U61" s="45" t="n">
        <x:v>61319</x:v>
      </x:c>
      <x:c r="V61" s="6" t="str">
        <x:v>Percent reversal groups use eligible pixels; insufficient share uses full domain</x:v>
      </x:c>
    </x:row>
    <x:row r="62">
      <x:c r="A62" s="6" t="str">
        <x:v>Production relative index · Cropland min/max</x:v>
      </x:c>
      <x:c r="B62" s="6" t="str">
        <x:v>MRIS</x:v>
      </x:c>
      <x:c r="C62" s="6" t="str">
        <x:v>P90</x:v>
      </x:c>
      <x:c r="D62" s="6" t="str">
        <x:v>MRIS · 2024 Dry</x:v>
      </x:c>
      <x:c r="E62" s="6" t="str">
        <x:v>Dry</x:v>
      </x:c>
      <x:c r="F62" s="7" t="n">
        <x:v>0.0588</x:v>
      </x:c>
      <x:c r="G62" s="6" t="str">
        <x:v>2024-01-01</x:v>
      </x:c>
      <x:c r="H62" s="6" t="str">
        <x:v>2024-06-01</x:v>
      </x:c>
      <x:c r="I62" s="41" t="n">
        <x:v>9</x:v>
      </x:c>
      <x:c r="J62" s="42" t="n">
        <x:v>2994.19</x:v>
      </x:c>
      <x:c r="K62" s="42" t="n">
        <x:v>2994.19</x:v>
      </x:c>
      <x:c r="L62" s="43" t="n">
        <x:v>0</x:v>
      </x:c>
      <x:c r="M62" s="10" t="n">
        <x:v>82.6196734342176</x:v>
      </x:c>
      <x:c r="N62" s="10" t="n">
        <x:v>15.164034346517756</x:v>
      </x:c>
      <x:c r="O62" s="10" t="n">
        <x:v>1.9688129343829215</x:v>
      </x:c>
      <x:c r="P62" s="10" t="n">
        <x:v>0.24747928488172094</x:v>
      </x:c>
      <x:c r="Q62" s="10" t="n">
        <x:v>2.2162922192646426</x:v>
      </x:c>
      <x:c r="R62" s="44" t="n">
        <x:v>0.19863468918138127</x:v>
      </x:c>
      <x:c r="S62" s="44" t="n">
        <x:v>0.941743843911041</x:v>
      </x:c>
      <x:c r="T62" s="45" t="n">
        <x:v>131817</x:v>
      </x:c>
      <x:c r="U62" s="45" t="n">
        <x:v>150159</x:v>
      </x:c>
      <x:c r="V62" s="6" t="str">
        <x:v>All fixed-support Cropland pixels are eligible</x:v>
      </x:c>
    </x:row>
    <x:row r="63">
      <x:c r="A63" s="6" t="str">
        <x:v>Rice-reference relative index · rice raw min/max</x:v>
      </x:c>
      <x:c r="B63" s="6" t="str">
        <x:v>MRIS</x:v>
      </x:c>
      <x:c r="C63" s="6" t="str">
        <x:v>P90</x:v>
      </x:c>
      <x:c r="D63" s="6" t="str">
        <x:v>MRIS · 2024 Dry</x:v>
      </x:c>
      <x:c r="E63" s="6" t="str">
        <x:v>Dry</x:v>
      </x:c>
      <x:c r="F63" s="7" t="n">
        <x:v>0.0621</x:v>
      </x:c>
      <x:c r="G63" s="6" t="str">
        <x:v>2024-01-01</x:v>
      </x:c>
      <x:c r="H63" s="6" t="str">
        <x:v>2024-06-01</x:v>
      </x:c>
      <x:c r="I63" s="41" t="n">
        <x:v>9</x:v>
      </x:c>
      <x:c r="J63" s="42" t="n">
        <x:v>2994.19</x:v>
      </x:c>
      <x:c r="K63" s="42" t="n">
        <x:v>2994.19</x:v>
      </x:c>
      <x:c r="L63" s="43" t="n">
        <x:v>0</x:v>
      </x:c>
      <x:c r="M63" s="10" t="n">
        <x:v>82.62434915619917</x:v>
      </x:c>
      <x:c r="N63" s="10" t="n">
        <x:v>15.16102852524389</x:v>
      </x:c>
      <x:c r="O63" s="10" t="n">
        <x:v>1.9678109939582993</x:v>
      </x:c>
      <x:c r="P63" s="10" t="n">
        <x:v>0.24681132459863936</x:v>
      </x:c>
      <x:c r="Q63" s="10" t="n">
        <x:v>2.2146223185569385</x:v>
      </x:c>
      <x:c r="R63" s="44" t="n">
        <x:v>0.1985645533516577</x:v>
      </x:c>
      <x:c r="S63" s="44" t="n">
        <x:v>0.9413798055567616</x:v>
      </x:c>
      <x:c r="T63" s="45" t="n">
        <x:v>131764</x:v>
      </x:c>
      <x:c r="U63" s="45" t="n">
        <x:v>150103</x:v>
      </x:c>
      <x:c r="V63" s="6" t="str">
        <x:v>All fixed-support Cropland pixels are eligible</x:v>
      </x:c>
    </x:row>
    <x:row r="64">
      <x:c r="A64" s="6" t="str">
        <x:v>Experimental Lovell WI · QC rice P1/P99</x:v>
      </x:c>
      <x:c r="B64" s="6" t="str">
        <x:v>MRIS</x:v>
      </x:c>
      <x:c r="C64" s="6" t="str">
        <x:v>P90</x:v>
      </x:c>
      <x:c r="D64" s="6" t="str">
        <x:v>MRIS · 2024–2025 Wet</x:v>
      </x:c>
      <x:c r="E64" s="6" t="str">
        <x:v>Wet</x:v>
      </x:c>
      <x:c r="F64" s="7" t="n">
        <x:v>4.697</x:v>
      </x:c>
      <x:c r="G64" s="6" t="str">
        <x:v>2024-08-01</x:v>
      </x:c>
      <x:c r="H64" s="6" t="str">
        <x:v>2025-01-01</x:v>
      </x:c>
      <x:c r="I64" s="41" t="n">
        <x:v>12</x:v>
      </x:c>
      <x:c r="J64" s="42" t="n">
        <x:v>2994.19</x:v>
      </x:c>
      <x:c r="K64" s="42" t="n">
        <x:v>2993.71</x:v>
      </x:c>
      <x:c r="L64" s="43" t="n">
        <x:v>0.00016031046793957632</x:v>
      </x:c>
      <x:c r="M64" s="10" t="n">
        <x:v>49.96776574885343</x:v>
      </x:c>
      <x:c r="N64" s="10" t="n">
        <x:v>33.479862778959884</x:v>
      </x:c>
      <x:c r="O64" s="10" t="n">
        <x:v>5.107709163546235</x:v>
      </x:c>
      <x:c r="P64" s="10" t="n">
        <x:v>11.44466230864045</x:v>
      </x:c>
      <x:c r="Q64" s="10" t="n">
        <x:v>16.552371472186685</x:v>
      </x:c>
      <x:c r="R64" s="44" t="n">
        <x:v>0.8179950629820524</x:v>
      </x:c>
      <x:c r="S64" s="44" t="n">
        <x:v>1.6694970454720064</x:v>
      </x:c>
      <x:c r="T64" s="45" t="n">
        <x:v>246054</x:v>
      </x:c>
      <x:c r="U64" s="45" t="n">
        <x:v>253745</x:v>
      </x:c>
      <x:c r="V64" s="6" t="str">
        <x:v>Percent reversal groups use eligible pixels; insufficient share uses full domain</x:v>
      </x:c>
    </x:row>
    <x:row r="65">
      <x:c r="A65" s="6" t="str">
        <x:v>Production relative index · Cropland min/max</x:v>
      </x:c>
      <x:c r="B65" s="6" t="str">
        <x:v>MRIS</x:v>
      </x:c>
      <x:c r="C65" s="6" t="str">
        <x:v>P90</x:v>
      </x:c>
      <x:c r="D65" s="6" t="str">
        <x:v>MRIS · 2024–2025 Wet</x:v>
      </x:c>
      <x:c r="E65" s="6" t="str">
        <x:v>Wet</x:v>
      </x:c>
      <x:c r="F65" s="7" t="n">
        <x:v>0.0588</x:v>
      </x:c>
      <x:c r="G65" s="6" t="str">
        <x:v>2024-08-01</x:v>
      </x:c>
      <x:c r="H65" s="6" t="str">
        <x:v>2025-01-01</x:v>
      </x:c>
      <x:c r="I65" s="41" t="n">
        <x:v>12</x:v>
      </x:c>
      <x:c r="J65" s="42" t="n">
        <x:v>2994.19</x:v>
      </x:c>
      <x:c r="K65" s="42" t="n">
        <x:v>2994.19</x:v>
      </x:c>
      <x:c r="L65" s="43" t="n">
        <x:v>0</x:v>
      </x:c>
      <x:c r="M65" s="10" t="n">
        <x:v>65.04096266435998</x:v>
      </x:c>
      <x:c r="N65" s="10" t="n">
        <x:v>23.53224077296364</x:v>
      </x:c>
      <x:c r="O65" s="10" t="n">
        <x:v>8.723561297045277</x:v>
      </x:c>
      <x:c r="P65" s="10" t="n">
        <x:v>2.7032352656311054</x:v>
      </x:c>
      <x:c r="Q65" s="10" t="n">
        <x:v>11.426796562676383</x:v>
      </x:c>
      <x:c r="R65" s="44" t="n">
        <x:v>0.49755025566179834</x:v>
      </x:c>
      <x:c r="S65" s="44" t="n">
        <x:v>1.3540156102318157</x:v>
      </x:c>
      <x:c r="T65" s="45" t="n">
        <x:v>206109</x:v>
      </x:c>
      <x:c r="U65" s="45" t="n">
        <x:v>199309</x:v>
      </x:c>
      <x:c r="V65" s="6" t="str">
        <x:v>All fixed-support Cropland pixels are eligible</x:v>
      </x:c>
    </x:row>
    <x:row r="66">
      <x:c r="A66" s="6" t="str">
        <x:v>Rice-reference relative index · rice raw min/max</x:v>
      </x:c>
      <x:c r="B66" s="6" t="str">
        <x:v>MRIS</x:v>
      </x:c>
      <x:c r="C66" s="6" t="str">
        <x:v>P90</x:v>
      </x:c>
      <x:c r="D66" s="6" t="str">
        <x:v>MRIS · 2024–2025 Wet</x:v>
      </x:c>
      <x:c r="E66" s="6" t="str">
        <x:v>Wet</x:v>
      </x:c>
      <x:c r="F66" s="7" t="n">
        <x:v>0.0621</x:v>
      </x:c>
      <x:c r="G66" s="6" t="str">
        <x:v>2024-08-01</x:v>
      </x:c>
      <x:c r="H66" s="6" t="str">
        <x:v>2025-01-01</x:v>
      </x:c>
      <x:c r="I66" s="41" t="n">
        <x:v>12</x:v>
      </x:c>
      <x:c r="J66" s="42" t="n">
        <x:v>2994.19</x:v>
      </x:c>
      <x:c r="K66" s="42" t="n">
        <x:v>2994.19</x:v>
      </x:c>
      <x:c r="L66" s="43" t="n">
        <x:v>0</x:v>
      </x:c>
      <x:c r="M66" s="10" t="n">
        <x:v>65.05331992959698</x:v>
      </x:c>
      <x:c r="N66" s="10" t="n">
        <x:v>23.526563110557447</x:v>
      </x:c>
      <x:c r="O66" s="10" t="n">
        <x:v>8.72022149562987</x:v>
      </x:c>
      <x:c r="P66" s="10" t="n">
        <x:v>2.6998954642156976</x:v>
      </x:c>
      <x:c r="Q66" s="10" t="n">
        <x:v>11.420116959845567</x:v>
      </x:c>
      <x:c r="R66" s="44" t="n">
        <x:v>0.4973198093641352</x:v>
      </x:c>
      <x:c r="S66" s="44" t="n">
        <x:v>1.3535914554520587</x:v>
      </x:c>
      <x:c r="T66" s="45" t="n">
        <x:v>206056</x:v>
      </x:c>
      <x:c r="U66" s="45" t="n">
        <x:v>199235</x:v>
      </x:c>
      <x:c r="V66" s="6" t="str">
        <x:v>All fixed-support Cropland pixels are eligible</x:v>
      </x:c>
    </x:row>
    <x:row r="67">
      <x:c r="A67" s="6" t="str">
        <x:v>Experimental Lovell WI · QC rice P1/P99</x:v>
      </x:c>
      <x:c r="B67" s="6" t="str">
        <x:v>MRIS</x:v>
      </x:c>
      <x:c r="C67" s="6" t="str">
        <x:v>P90</x:v>
      </x:c>
      <x:c r="D67" s="6" t="str">
        <x:v>MRIS · 2025 Dry</x:v>
      </x:c>
      <x:c r="E67" s="6" t="str">
        <x:v>Dry</x:v>
      </x:c>
      <x:c r="F67" s="7" t="n">
        <x:v>4.697</x:v>
      </x:c>
      <x:c r="G67" s="6" t="str">
        <x:v>2025-01-01</x:v>
      </x:c>
      <x:c r="H67" s="6" t="str">
        <x:v>2025-06-01</x:v>
      </x:c>
      <x:c r="I67" s="41" t="n">
        <x:v>12</x:v>
      </x:c>
      <x:c r="J67" s="42" t="n">
        <x:v>2994.19</x:v>
      </x:c>
      <x:c r="K67" s="42" t="n">
        <x:v>2993.9</x:v>
      </x:c>
      <x:c r="L67" s="43" t="n">
        <x:v>0.00009685424104682736</x:v>
      </x:c>
      <x:c r="M67" s="10" t="n">
        <x:v>71.03644076288454</x:v>
      </x:c>
      <x:c r="N67" s="10" t="n">
        <x:v>22.12565549951568</x:v>
      </x:c>
      <x:c r="O67" s="10" t="n">
        <x:v>3.536524266007549</x:v>
      </x:c>
      <x:c r="P67" s="10" t="n">
        <x:v>3.3013794715922375</x:v>
      </x:c>
      <x:c r="Q67" s="10" t="n">
        <x:v>6.837903737599786</x:v>
      </x:c>
      <x:c r="R67" s="44" t="n">
        <x:v>0.3988977587761782</x:v>
      </x:c>
      <x:c r="S67" s="44" t="n">
        <x:v>0.8898192992417916</x:v>
      </x:c>
      <x:c r="T67" s="45" t="n">
        <x:v>132200</x:v>
      </x:c>
      <x:c r="U67" s="45" t="n">
        <x:v>134203</x:v>
      </x:c>
      <x:c r="V67" s="6" t="str">
        <x:v>Percent reversal groups use eligible pixels; insufficient share uses full domain</x:v>
      </x:c>
    </x:row>
    <x:row r="68">
      <x:c r="A68" s="6" t="str">
        <x:v>Production relative index · Cropland min/max</x:v>
      </x:c>
      <x:c r="B68" s="6" t="str">
        <x:v>MRIS</x:v>
      </x:c>
      <x:c r="C68" s="6" t="str">
        <x:v>P90</x:v>
      </x:c>
      <x:c r="D68" s="6" t="str">
        <x:v>MRIS · 2025 Dry</x:v>
      </x:c>
      <x:c r="E68" s="6" t="str">
        <x:v>Dry</x:v>
      </x:c>
      <x:c r="F68" s="7" t="n">
        <x:v>0.0588</x:v>
      </x:c>
      <x:c r="G68" s="6" t="str">
        <x:v>2025-01-01</x:v>
      </x:c>
      <x:c r="H68" s="6" t="str">
        <x:v>2025-06-01</x:v>
      </x:c>
      <x:c r="I68" s="41" t="n">
        <x:v>12</x:v>
      </x:c>
      <x:c r="J68" s="42" t="n">
        <x:v>2994.19</x:v>
      </x:c>
      <x:c r="K68" s="42" t="n">
        <x:v>2994.19</x:v>
      </x:c>
      <x:c r="L68" s="43" t="n">
        <x:v>0</x:v>
      </x:c>
      <x:c r="M68" s="10" t="n">
        <x:v>61.09031157007404</x:v>
      </x:c>
      <x:c r="N68" s="10" t="n">
        <x:v>24.067610939853516</x:v>
      </x:c>
      <x:c r="O68" s="10" t="n">
        <x:v>10.298611644551615</x:v>
      </x:c>
      <x:c r="P68" s="10" t="n">
        <x:v>4.543465845520825</x:v>
      </x:c>
      <x:c r="Q68" s="10" t="n">
        <x:v>14.842077490072441</x:v>
      </x:c>
      <x:c r="R68" s="44" t="n">
        <x:v>0.5962681058984233</x:v>
      </x:c>
      <x:c r="S68" s="44" t="n">
        <x:v>1.4860179213743951</x:v>
      </x:c>
      <x:c r="T68" s="45" t="n">
        <x:v>214517</x:v>
      </x:c>
      <x:c r="U68" s="45" t="n">
        <x:v>230425</x:v>
      </x:c>
      <x:c r="V68" s="6" t="str">
        <x:v>All fixed-support Cropland pixels are eligible</x:v>
      </x:c>
    </x:row>
    <x:row r="69">
      <x:c r="A69" s="6" t="str">
        <x:v>Rice-reference relative index · rice raw min/max</x:v>
      </x:c>
      <x:c r="B69" s="6" t="str">
        <x:v>MRIS</x:v>
      </x:c>
      <x:c r="C69" s="6" t="str">
        <x:v>P90</x:v>
      </x:c>
      <x:c r="D69" s="6" t="str">
        <x:v>MRIS · 2025 Dry</x:v>
      </x:c>
      <x:c r="E69" s="6" t="str">
        <x:v>Dry</x:v>
      </x:c>
      <x:c r="F69" s="7" t="n">
        <x:v>0.0621</x:v>
      </x:c>
      <x:c r="G69" s="6" t="str">
        <x:v>2025-01-01</x:v>
      </x:c>
      <x:c r="H69" s="6" t="str">
        <x:v>2025-06-01</x:v>
      </x:c>
      <x:c r="I69" s="41" t="n">
        <x:v>12</x:v>
      </x:c>
      <x:c r="J69" s="42" t="n">
        <x:v>2994.19</x:v>
      </x:c>
      <x:c r="K69" s="42" t="n">
        <x:v>2994.19</x:v>
      </x:c>
      <x:c r="L69" s="43" t="n">
        <x:v>0</x:v>
      </x:c>
      <x:c r="M69" s="10" t="n">
        <x:v>61.105006696301835</x:v>
      </x:c>
      <x:c r="N69" s="10" t="n">
        <x:v>24.062935217871946</x:v>
      </x:c>
      <x:c r="O69" s="10" t="n">
        <x:v>10.294269902711585</x:v>
      </x:c>
      <x:c r="P69" s="10" t="n">
        <x:v>4.537788183114632</x:v>
      </x:c>
      <x:c r="Q69" s="10" t="n">
        <x:v>14.832058085826217</x:v>
      </x:c>
      <x:c r="R69" s="44" t="n">
        <x:v>0.595954164565375</x:v>
      </x:c>
      <x:c r="S69" s="44" t="n">
        <x:v>1.4854635143394375</x:v>
      </x:c>
      <x:c r="T69" s="45" t="n">
        <x:v>214430</x:v>
      </x:c>
      <x:c r="U69" s="45" t="n">
        <x:v>230346</x:v>
      </x:c>
      <x:c r="V69" s="6" t="str">
        <x:v>All fixed-support Cropland pixels are eligible</x:v>
      </x:c>
    </x:row>
    <x:row r="70">
      <x:c r="A70" s="6" t="str">
        <x:v>Experimental Lovell WI · QC rice P1/P99</x:v>
      </x:c>
      <x:c r="B70" s="6" t="str">
        <x:v>MRIS</x:v>
      </x:c>
      <x:c r="C70" s="6" t="str">
        <x:v>P90</x:v>
      </x:c>
      <x:c r="D70" s="6" t="str">
        <x:v>MRIS · 2025–2026 Wet</x:v>
      </x:c>
      <x:c r="E70" s="6" t="str">
        <x:v>Wet</x:v>
      </x:c>
      <x:c r="F70" s="7" t="n">
        <x:v>4.697</x:v>
      </x:c>
      <x:c r="G70" s="6" t="str">
        <x:v>2025-08-01</x:v>
      </x:c>
      <x:c r="H70" s="6" t="str">
        <x:v>2026-01-01</x:v>
      </x:c>
      <x:c r="I70" s="41" t="n">
        <x:v>10</x:v>
      </x:c>
      <x:c r="J70" s="42" t="n">
        <x:v>2994.19</x:v>
      </x:c>
      <x:c r="K70" s="42" t="n">
        <x:v>2992.7400000000002</x:v>
      </x:c>
      <x:c r="L70" s="43" t="n">
        <x:v>0.0004842712052341368</x:v>
      </x:c>
      <x:c r="M70" s="10" t="n">
        <x:v>47.94602939112653</x:v>
      </x:c>
      <x:c r="N70" s="10" t="n">
        <x:v>33.66446801259047</x:v>
      </x:c>
      <x:c r="O70" s="10" t="n">
        <x:v>5.835455134759451</x:v>
      </x:c>
      <x:c r="P70" s="10" t="n">
        <x:v>12.554047461523554</x:v>
      </x:c>
      <x:c r="Q70" s="10" t="n">
        <x:v>18.389502596283005</x:v>
      </x:c>
      <x:c r="R70" s="44" t="n">
        <x:v>0.8706202343003402</x:v>
      </x:c>
      <x:c r="S70" s="44" t="n">
        <x:v>1.7588898467624985</x:v>
      </x:c>
      <x:c r="T70" s="45" t="n">
        <x:v>266482</x:v>
      </x:c>
      <x:c r="U70" s="45" t="n">
        <x:v>259908</x:v>
      </x:c>
      <x:c r="V70" s="6" t="str">
        <x:v>Percent reversal groups use eligible pixels; insufficient share uses full domain</x:v>
      </x:c>
    </x:row>
    <x:row r="71">
      <x:c r="A71" s="6" t="str">
        <x:v>Production relative index · Cropland min/max</x:v>
      </x:c>
      <x:c r="B71" s="6" t="str">
        <x:v>MRIS</x:v>
      </x:c>
      <x:c r="C71" s="6" t="str">
        <x:v>P90</x:v>
      </x:c>
      <x:c r="D71" s="6" t="str">
        <x:v>MRIS · 2025–2026 Wet</x:v>
      </x:c>
      <x:c r="E71" s="6" t="str">
        <x:v>Wet</x:v>
      </x:c>
      <x:c r="F71" s="7" t="n">
        <x:v>0.0588</x:v>
      </x:c>
      <x:c r="G71" s="6" t="str">
        <x:v>2025-08-01</x:v>
      </x:c>
      <x:c r="H71" s="6" t="str">
        <x:v>2026-01-01</x:v>
      </x:c>
      <x:c r="I71" s="41" t="n">
        <x:v>10</x:v>
      </x:c>
      <x:c r="J71" s="42" t="n">
        <x:v>2994.19</x:v>
      </x:c>
      <x:c r="K71" s="42" t="n">
        <x:v>2994.19</x:v>
      </x:c>
      <x:c r="L71" s="43" t="n">
        <x:v>0</x:v>
      </x:c>
      <x:c r="M71" s="10" t="n">
        <x:v>75.30651027489905</x:v>
      </x:c>
      <x:c r="N71" s="10" t="n">
        <x:v>18.93266626366396</x:v>
      </x:c>
      <x:c r="O71" s="10" t="n">
        <x:v>4.654347252512365</x:v>
      </x:c>
      <x:c r="P71" s="10" t="n">
        <x:v>1.1064762089246174</x:v>
      </x:c>
      <x:c r="Q71" s="10" t="n">
        <x:v>5.760823461436983</x:v>
      </x:c>
      <x:c r="R71" s="44" t="n">
        <x:v>0.3174882021515001</x:v>
      </x:c>
      <x:c r="S71" s="44" t="n">
        <x:v>1.0435710492654107</x:v>
      </x:c>
      <x:c r="T71" s="45" t="n">
        <x:v>172651</x:v>
      </x:c>
      <x:c r="U71" s="45" t="n">
        <x:v>139814</x:v>
      </x:c>
      <x:c r="V71" s="6" t="str">
        <x:v>All fixed-support Cropland pixels are eligible</x:v>
      </x:c>
    </x:row>
    <x:row r="72">
      <x:c r="A72" s="6" t="str">
        <x:v>Rice-reference relative index · rice raw min/max</x:v>
      </x:c>
      <x:c r="B72" s="6" t="str">
        <x:v>MRIS</x:v>
      </x:c>
      <x:c r="C72" s="6" t="str">
        <x:v>P90</x:v>
      </x:c>
      <x:c r="D72" s="6" t="str">
        <x:v>MRIS · 2025–2026 Wet</x:v>
      </x:c>
      <x:c r="E72" s="6" t="str">
        <x:v>Wet</x:v>
      </x:c>
      <x:c r="F72" s="7" t="n">
        <x:v>0.0621</x:v>
      </x:c>
      <x:c r="G72" s="6" t="str">
        <x:v>2025-08-01</x:v>
      </x:c>
      <x:c r="H72" s="6" t="str">
        <x:v>2026-01-01</x:v>
      </x:c>
      <x:c r="I72" s="41" t="n">
        <x:v>10</x:v>
      </x:c>
      <x:c r="J72" s="42" t="n">
        <x:v>2994.19</x:v>
      </x:c>
      <x:c r="K72" s="42" t="n">
        <x:v>2994.19</x:v>
      </x:c>
      <x:c r="L72" s="43" t="n">
        <x:v>0</x:v>
      </x:c>
      <x:c r="M72" s="10" t="n">
        <x:v>75.3192015202776</x:v>
      </x:c>
      <x:c r="N72" s="10" t="n">
        <x:v>18.925652680691606</x:v>
      </x:c>
      <x:c r="O72" s="10" t="n">
        <x:v>4.651007451096958</x:v>
      </x:c>
      <x:c r="P72" s="10" t="n">
        <x:v>1.1041383479338318</x:v>
      </x:c>
      <x:c r="Q72" s="10" t="n">
        <x:v>5.75514579903079</x:v>
      </x:c>
      <x:c r="R72" s="44" t="n">
        <x:v>0.3172811344637448</x:v>
      </x:c>
      <x:c r="S72" s="44" t="n">
        <x:v>1.043180292499808</x:v>
      </x:c>
      <x:c r="T72" s="45" t="n">
        <x:v>172595</x:v>
      </x:c>
      <x:c r="U72" s="45" t="n">
        <x:v>139753</x:v>
      </x:c>
      <x:c r="V72" s="6" t="str">
        <x:v>All fixed-support Cropland pixels are eligible</x:v>
      </x:c>
    </x:row>
    <x:row r="73">
      <x:c r="A73" s="6" t="str">
        <x:v>Experimental Lovell WI · QC rice P1/P99</x:v>
      </x:c>
      <x:c r="B73" s="6" t="str">
        <x:v>UCRIS</x:v>
      </x:c>
      <x:c r="C73" s="6" t="str">
        <x:v>P80</x:v>
      </x:c>
      <x:c r="D73" s="6" t="str">
        <x:v>UCRIS · 2023–2024 Wet</x:v>
      </x:c>
      <x:c r="E73" s="6" t="str">
        <x:v>Wet</x:v>
      </x:c>
      <x:c r="F73" s="7" t="n">
        <x:v>2.5340000000000003</x:v>
      </x:c>
      <x:c r="G73" s="6" t="str">
        <x:v>2023-07-01</x:v>
      </x:c>
      <x:c r="H73" s="6" t="str">
        <x:v>2024-01-01</x:v>
      </x:c>
      <x:c r="I73" s="41" t="n">
        <x:v>14</x:v>
      </x:c>
      <x:c r="J73" s="42" t="n">
        <x:v>8297.48</x:v>
      </x:c>
      <x:c r="K73" s="42" t="n">
        <x:v>8296.72</x:v>
      </x:c>
      <x:c r="L73" s="43" t="n">
        <x:v>0.00009159407434546391</x:v>
      </x:c>
      <x:c r="M73" s="10" t="n">
        <x:v>33.360291777955624</x:v>
      </x:c>
      <x:c r="N73" s="10" t="n">
        <x:v>29.0782381471232</x:v>
      </x:c>
      <x:c r="O73" s="10" t="n">
        <x:v>12.435396156553432</x:v>
      </x:c>
      <x:c r="P73" s="10" t="n">
        <x:v>25.12607391836774</x:v>
      </x:c>
      <x:c r="Q73" s="10" t="n">
        <x:v>37.561470074921175</x:v>
      </x:c>
      <x:c r="R73" s="44" t="n">
        <x:v>1.4701171065192027</x:v>
      </x:c>
      <x:c r="S73" s="44" t="n">
        <x:v>2.6351594365002073</x:v>
      </x:c>
      <x:c r="T73" s="45" t="n">
        <x:v>1086499</x:v>
      </x:c>
      <x:c r="U73" s="45" t="n">
        <x:v>1099819</x:v>
      </x:c>
      <x:c r="V73" s="6" t="str">
        <x:v>Percent reversal groups use eligible pixels; insufficient share uses full domain</x:v>
      </x:c>
    </x:row>
    <x:row r="74">
      <x:c r="A74" s="6" t="str">
        <x:v>Production relative index · Cropland min/max</x:v>
      </x:c>
      <x:c r="B74" s="6" t="str">
        <x:v>UCRIS</x:v>
      </x:c>
      <x:c r="C74" s="6" t="str">
        <x:v>P80</x:v>
      </x:c>
      <x:c r="D74" s="6" t="str">
        <x:v>UCRIS · 2023–2024 Wet</x:v>
      </x:c>
      <x:c r="E74" s="6" t="str">
        <x:v>Wet</x:v>
      </x:c>
      <x:c r="F74" s="7" t="n">
        <x:v>0.0443</x:v>
      </x:c>
      <x:c r="G74" s="6" t="str">
        <x:v>2023-07-01</x:v>
      </x:c>
      <x:c r="H74" s="6" t="str">
        <x:v>2024-01-01</x:v>
      </x:c>
      <x:c r="I74" s="41" t="n">
        <x:v>14</x:v>
      </x:c>
      <x:c r="J74" s="42" t="n">
        <x:v>8297.48</x:v>
      </x:c>
      <x:c r="K74" s="42" t="n">
        <x:v>8297.48</x:v>
      </x:c>
      <x:c r="L74" s="43" t="n">
        <x:v>0</x:v>
      </x:c>
      <x:c r="M74" s="10" t="n">
        <x:v>27.203199043565036</x:v>
      </x:c>
      <x:c r="N74" s="10" t="n">
        <x:v>25.455680519868682</x:v>
      </x:c>
      <x:c r="O74" s="10" t="n">
        <x:v>21.84157117582688</x:v>
      </x:c>
      <x:c r="P74" s="10" t="n">
        <x:v>25.499549260739407</x:v>
      </x:c>
      <x:c r="Q74" s="10" t="n">
        <x:v>47.341120436566285</x:v>
      </x:c>
      <x:c r="R74" s="44" t="n">
        <x:v>1.6506204293351716</x:v>
      </x:c>
      <x:c r="S74" s="44" t="n">
        <x:v>3.1410042567140866</x:v>
      </x:c>
      <x:c r="T74" s="45" t="n">
        <x:v>1320173</x:v>
      </x:c>
      <x:c r="U74" s="45" t="n">
        <x:v>1286069</x:v>
      </x:c>
      <x:c r="V74" s="6" t="str">
        <x:v>All fixed-support Cropland pixels are eligible</x:v>
      </x:c>
    </x:row>
    <x:row r="75">
      <x:c r="A75" s="6" t="str">
        <x:v>Rice-reference relative index · rice raw min/max</x:v>
      </x:c>
      <x:c r="B75" s="6" t="str">
        <x:v>UCRIS</x:v>
      </x:c>
      <x:c r="C75" s="6" t="str">
        <x:v>P80</x:v>
      </x:c>
      <x:c r="D75" s="6" t="str">
        <x:v>UCRIS · 2023–2024 Wet</x:v>
      </x:c>
      <x:c r="E75" s="6" t="str">
        <x:v>Wet</x:v>
      </x:c>
      <x:c r="F75" s="7" t="n">
        <x:v>0.0468</x:v>
      </x:c>
      <x:c r="G75" s="6" t="str">
        <x:v>2023-07-01</x:v>
      </x:c>
      <x:c r="H75" s="6" t="str">
        <x:v>2024-01-01</x:v>
      </x:c>
      <x:c r="I75" s="41" t="n">
        <x:v>14</x:v>
      </x:c>
      <x:c r="J75" s="42" t="n">
        <x:v>8297.48</x:v>
      </x:c>
      <x:c r="K75" s="42" t="n">
        <x:v>8297.48</x:v>
      </x:c>
      <x:c r="L75" s="43" t="n">
        <x:v>0</x:v>
      </x:c>
      <x:c r="M75" s="10" t="n">
        <x:v>27.252611636304035</x:v>
      </x:c>
      <x:c r="N75" s="10" t="n">
        <x:v>25.458331927283947</x:v>
      </x:c>
      <x:c r="O75" s="10" t="n">
        <x:v>21.830362953571445</x:v>
      </x:c>
      <x:c r="P75" s="10" t="n">
        <x:v>25.458693482840573</x:v>
      </x:c>
      <x:c r="Q75" s="10" t="n">
        <x:v>47.28905643641202</x:v>
      </x:c>
      <x:c r="R75" s="44" t="n">
        <x:v>1.6487596234037323</x:v>
      </x:c>
      <x:c r="S75" s="44" t="n">
        <x:v>3.138362490780333</x:v>
      </x:c>
      <x:c r="T75" s="45" t="n">
        <x:v>1319123</x:v>
      </x:c>
      <x:c r="U75" s="45" t="n">
        <x:v>1284927</x:v>
      </x:c>
      <x:c r="V75" s="6" t="str">
        <x:v>All fixed-support Cropland pixels are eligible</x:v>
      </x:c>
    </x:row>
    <x:row r="76">
      <x:c r="A76" s="6" t="str">
        <x:v>Experimental Lovell WI · QC rice P1/P99</x:v>
      </x:c>
      <x:c r="B76" s="6" t="str">
        <x:v>UCRIS</x:v>
      </x:c>
      <x:c r="C76" s="6" t="str">
        <x:v>P80</x:v>
      </x:c>
      <x:c r="D76" s="6" t="str">
        <x:v>UCRIS · 2023–2024 Dry</x:v>
      </x:c>
      <x:c r="E76" s="6" t="str">
        <x:v>Dry</x:v>
      </x:c>
      <x:c r="F76" s="7" t="n">
        <x:v>2.5340000000000003</x:v>
      </x:c>
      <x:c r="G76" s="6" t="str">
        <x:v>2023-11-01</x:v>
      </x:c>
      <x:c r="H76" s="6" t="str">
        <x:v>2024-05-01</x:v>
      </x:c>
      <x:c r="I76" s="41" t="n">
        <x:v>11</x:v>
      </x:c>
      <x:c r="J76" s="42" t="n">
        <x:v>8297.48</x:v>
      </x:c>
      <x:c r="K76" s="42" t="n">
        <x:v>8296.89</x:v>
      </x:c>
      <x:c r="L76" s="43" t="n">
        <x:v>0.00007110592613661016</x:v>
      </x:c>
      <x:c r="M76" s="10" t="n">
        <x:v>55.03218675913505</x:v>
      </x:c>
      <x:c r="N76" s="10" t="n">
        <x:v>31.53036860799649</x:v>
      </x:c>
      <x:c r="O76" s="10" t="n">
        <x:v>9.728826102310626</x:v>
      </x:c>
      <x:c r="P76" s="10" t="n">
        <x:v>3.7086185305578354</x:v>
      </x:c>
      <x:c r="Q76" s="10" t="n">
        <x:v>13.437444632868461</x:v>
      </x:c>
      <x:c r="R76" s="44" t="n">
        <x:v>0.6320609288540646</x:v>
      </x:c>
      <x:c r="S76" s="44" t="n">
        <x:v>1.7489758210606625</x:v>
      </x:c>
      <x:c r="T76" s="45" t="n">
        <x:v>758025</x:v>
      </x:c>
      <x:c r="U76" s="45" t="n">
        <x:v>693081</x:v>
      </x:c>
      <x:c r="V76" s="6" t="str">
        <x:v>Percent reversal groups use eligible pixels; insufficient share uses full domain</x:v>
      </x:c>
    </x:row>
    <x:row r="77">
      <x:c r="A77" s="6" t="str">
        <x:v>Production relative index · Cropland min/max</x:v>
      </x:c>
      <x:c r="B77" s="6" t="str">
        <x:v>UCRIS</x:v>
      </x:c>
      <x:c r="C77" s="6" t="str">
        <x:v>P80</x:v>
      </x:c>
      <x:c r="D77" s="6" t="str">
        <x:v>UCRIS · 2023–2024 Dry</x:v>
      </x:c>
      <x:c r="E77" s="6" t="str">
        <x:v>Dry</x:v>
      </x:c>
      <x:c r="F77" s="7" t="n">
        <x:v>0.0443</x:v>
      </x:c>
      <x:c r="G77" s="6" t="str">
        <x:v>2023-11-01</x:v>
      </x:c>
      <x:c r="H77" s="6" t="str">
        <x:v>2024-05-01</x:v>
      </x:c>
      <x:c r="I77" s="41" t="n">
        <x:v>11</x:v>
      </x:c>
      <x:c r="J77" s="42" t="n">
        <x:v>8297.48</x:v>
      </x:c>
      <x:c r="K77" s="42" t="n">
        <x:v>8297.48</x:v>
      </x:c>
      <x:c r="L77" s="43" t="n">
        <x:v>0</x:v>
      </x:c>
      <x:c r="M77" s="10" t="n">
        <x:v>53.94264282649672</x:v>
      </x:c>
      <x:c r="N77" s="10" t="n">
        <x:v>30.00344682963984</x:v>
      </x:c>
      <x:c r="O77" s="10" t="n">
        <x:v>11.843836923981739</x:v>
      </x:c>
      <x:c r="P77" s="10" t="n">
        <x:v>4.210073419881699</x:v>
      </x:c>
      <x:c r="Q77" s="10" t="n">
        <x:v>16.05391034386344</x:v>
      </x:c>
      <x:c r="R77" s="44" t="n">
        <x:v>0.6732345242169911</x:v>
      </x:c>
      <x:c r="S77" s="44" t="n">
        <x:v>2.3051986868302183</x:v>
      </x:c>
      <x:c r="T77" s="45" t="n">
        <x:v>1021019</x:v>
      </x:c>
      <x:c r="U77" s="45" t="n">
        <x:v>891715</x:v>
      </x:c>
      <x:c r="V77" s="6" t="str">
        <x:v>All fixed-support Cropland pixels are eligible</x:v>
      </x:c>
    </x:row>
    <x:row r="78">
      <x:c r="A78" s="6" t="str">
        <x:v>Rice-reference relative index · rice raw min/max</x:v>
      </x:c>
      <x:c r="B78" s="6" t="str">
        <x:v>UCRIS</x:v>
      </x:c>
      <x:c r="C78" s="6" t="str">
        <x:v>P80</x:v>
      </x:c>
      <x:c r="D78" s="6" t="str">
        <x:v>UCRIS · 2023–2024 Dry</x:v>
      </x:c>
      <x:c r="E78" s="6" t="str">
        <x:v>Dry</x:v>
      </x:c>
      <x:c r="F78" s="7" t="n">
        <x:v>0.0468</x:v>
      </x:c>
      <x:c r="G78" s="6" t="str">
        <x:v>2023-11-01</x:v>
      </x:c>
      <x:c r="H78" s="6" t="str">
        <x:v>2024-05-01</x:v>
      </x:c>
      <x:c r="I78" s="41" t="n">
        <x:v>11</x:v>
      </x:c>
      <x:c r="J78" s="42" t="n">
        <x:v>8297.48</x:v>
      </x:c>
      <x:c r="K78" s="42" t="n">
        <x:v>8297.48</x:v>
      </x:c>
      <x:c r="L78" s="43" t="n">
        <x:v>0</x:v>
      </x:c>
      <x:c r="M78" s="10" t="n">
        <x:v>53.98470378958431</x:v>
      </x:c>
      <x:c r="N78" s="10" t="n">
        <x:v>29.990792385157903</x:v>
      </x:c>
      <x:c r="O78" s="10" t="n">
        <x:v>11.82431292392389</x:v>
      </x:c>
      <x:c r="P78" s="10" t="n">
        <x:v>4.200190901333899</x:v>
      </x:c>
      <x:c r="Q78" s="10" t="n">
        <x:v>16.02450382525779</x:v>
      </x:c>
      <x:c r="R78" s="44" t="n">
        <x:v>0.6724017412515607</x:v>
      </x:c>
      <x:c r="S78" s="44" t="n">
        <x:v>2.3031571031204656</x:v>
      </x:c>
      <x:c r="T78" s="45" t="n">
        <x:v>1020111</x:v>
      </x:c>
      <x:c r="U78" s="45" t="n">
        <x:v>890929</x:v>
      </x:c>
      <x:c r="V78" s="6" t="str">
        <x:v>All fixed-support Cropland pixels are eligible</x:v>
      </x:c>
    </x:row>
    <x:row r="79">
      <x:c r="A79" s="6" t="str">
        <x:v>Experimental Lovell WI · QC rice P1/P99</x:v>
      </x:c>
      <x:c r="B79" s="6" t="str">
        <x:v>UCRIS</x:v>
      </x:c>
      <x:c r="C79" s="6" t="str">
        <x:v>P80</x:v>
      </x:c>
      <x:c r="D79" s="6" t="str">
        <x:v>UCRIS · 2024–2025 Wet</x:v>
      </x:c>
      <x:c r="E79" s="6" t="str">
        <x:v>Wet</x:v>
      </x:c>
      <x:c r="F79" s="7" t="n">
        <x:v>2.5340000000000003</x:v>
      </x:c>
      <x:c r="G79" s="6" t="str">
        <x:v>2024-07-01</x:v>
      </x:c>
      <x:c r="H79" s="6" t="str">
        <x:v>2025-01-01</x:v>
      </x:c>
      <x:c r="I79" s="41" t="n">
        <x:v>14</x:v>
      </x:c>
      <x:c r="J79" s="42" t="n">
        <x:v>8297.48</x:v>
      </x:c>
      <x:c r="K79" s="42" t="n">
        <x:v>8296.37</x:v>
      </x:c>
      <x:c r="L79" s="43" t="n">
        <x:v>0.00013377555595192757</x:v>
      </x:c>
      <x:c r="M79" s="10" t="n">
        <x:v>29.58281754550484</x:v>
      </x:c>
      <x:c r="N79" s="10" t="n">
        <x:v>29.338252753915267</x:v>
      </x:c>
      <x:c r="O79" s="10" t="n">
        <x:v>12.786917651936932</x:v>
      </x:c>
      <x:c r="P79" s="10" t="n">
        <x:v>28.29201204864296</x:v>
      </x:c>
      <x:c r="Q79" s="10" t="n">
        <x:v>41.07892970057989</x:v>
      </x:c>
      <x:c r="R79" s="44" t="n">
        <x:v>1.6129283047887208</x:v>
      </x:c>
      <x:c r="S79" s="44" t="n">
        <x:v>2.8830126910926106</x:v>
      </x:c>
      <x:c r="T79" s="45" t="n">
        <x:v>1173781</x:v>
      </x:c>
      <x:c r="U79" s="45" t="n">
        <x:v>1218073</x:v>
      </x:c>
      <x:c r="V79" s="6" t="str">
        <x:v>Percent reversal groups use eligible pixels; insufficient share uses full domain</x:v>
      </x:c>
    </x:row>
    <x:row r="80">
      <x:c r="A80" s="6" t="str">
        <x:v>Production relative index · Cropland min/max</x:v>
      </x:c>
      <x:c r="B80" s="6" t="str">
        <x:v>UCRIS</x:v>
      </x:c>
      <x:c r="C80" s="6" t="str">
        <x:v>P80</x:v>
      </x:c>
      <x:c r="D80" s="6" t="str">
        <x:v>UCRIS · 2024–2025 Wet</x:v>
      </x:c>
      <x:c r="E80" s="6" t="str">
        <x:v>Wet</x:v>
      </x:c>
      <x:c r="F80" s="7" t="n">
        <x:v>0.0443</x:v>
      </x:c>
      <x:c r="G80" s="6" t="str">
        <x:v>2024-07-01</x:v>
      </x:c>
      <x:c r="H80" s="6" t="str">
        <x:v>2025-01-01</x:v>
      </x:c>
      <x:c r="I80" s="41" t="n">
        <x:v>14</x:v>
      </x:c>
      <x:c r="J80" s="42" t="n">
        <x:v>8297.48</x:v>
      </x:c>
      <x:c r="K80" s="42" t="n">
        <x:v>8297.48</x:v>
      </x:c>
      <x:c r="L80" s="43" t="n">
        <x:v>0</x:v>
      </x:c>
      <x:c r="M80" s="10" t="n">
        <x:v>29.11233290107358</x:v>
      </x:c>
      <x:c r="N80" s="10" t="n">
        <x:v>26.416815707901677</x:v>
      </x:c>
      <x:c r="O80" s="10" t="n">
        <x:v>21.467963767312487</x:v>
      </x:c>
      <x:c r="P80" s="10" t="n">
        <x:v>23.002887623712258</x:v>
      </x:c>
      <x:c r="Q80" s="10" t="n">
        <x:v>44.470851391024745</x:v>
      </x:c>
      <x:c r="R80" s="44" t="n">
        <x:v>1.5475698645853921</x:v>
      </x:c>
      <x:c r="S80" s="44" t="n">
        <x:v>3.02004584524458</x:v>
      </x:c>
      <x:c r="T80" s="45" t="n">
        <x:v>1227052</x:v>
      </x:c>
      <x:c r="U80" s="45" t="n">
        <x:v>1278825</x:v>
      </x:c>
      <x:c r="V80" s="6" t="str">
        <x:v>All fixed-support Cropland pixels are eligible</x:v>
      </x:c>
    </x:row>
    <x:row r="81">
      <x:c r="A81" s="6" t="str">
        <x:v>Rice-reference relative index · rice raw min/max</x:v>
      </x:c>
      <x:c r="B81" s="6" t="str">
        <x:v>UCRIS</x:v>
      </x:c>
      <x:c r="C81" s="6" t="str">
        <x:v>P80</x:v>
      </x:c>
      <x:c r="D81" s="6" t="str">
        <x:v>UCRIS · 2024–2025 Wet</x:v>
      </x:c>
      <x:c r="E81" s="6" t="str">
        <x:v>Wet</x:v>
      </x:c>
      <x:c r="F81" s="7" t="n">
        <x:v>0.0468</x:v>
      </x:c>
      <x:c r="G81" s="6" t="str">
        <x:v>2024-07-01</x:v>
      </x:c>
      <x:c r="H81" s="6" t="str">
        <x:v>2025-01-01</x:v>
      </x:c>
      <x:c r="I81" s="41" t="n">
        <x:v>14</x:v>
      </x:c>
      <x:c r="J81" s="42" t="n">
        <x:v>8297.48</x:v>
      </x:c>
      <x:c r="K81" s="42" t="n">
        <x:v>8297.48</x:v>
      </x:c>
      <x:c r="L81" s="43" t="n">
        <x:v>0</x:v>
      </x:c>
      <x:c r="M81" s="10" t="n">
        <x:v>29.157165790095306</x:v>
      </x:c>
      <x:c r="N81" s="10" t="n">
        <x:v>26.423444226439834</x:v>
      </x:c>
      <x:c r="O81" s="10" t="n">
        <x:v>21.451452730226528</x:v>
      </x:c>
      <x:c r="P81" s="10" t="n">
        <x:v>22.967937253238333</x:v>
      </x:c>
      <x:c r="Q81" s="10" t="n">
        <x:v>44.41938998346486</x:v>
      </x:c>
      <x:c r="R81" s="44" t="n">
        <x:v>1.5458982727285875</x:v>
      </x:c>
      <x:c r="S81" s="44" t="n">
        <x:v>3.0174848267184737</x:v>
      </x:c>
      <x:c r="T81" s="45" t="n">
        <x:v>1226038</x:v>
      </x:c>
      <x:c r="U81" s="45" t="n">
        <x:v>1277714</x:v>
      </x:c>
      <x:c r="V81" s="6" t="str">
        <x:v>All fixed-support Cropland pixels are eligible</x:v>
      </x:c>
    </x:row>
    <x:row r="82">
      <x:c r="A82" s="6" t="str">
        <x:v>Experimental Lovell WI · QC rice P1/P99</x:v>
      </x:c>
      <x:c r="B82" s="6" t="str">
        <x:v>UCRIS</x:v>
      </x:c>
      <x:c r="C82" s="6" t="str">
        <x:v>P80</x:v>
      </x:c>
      <x:c r="D82" s="6" t="str">
        <x:v>UCRIS · 2024–2025 Dry</x:v>
      </x:c>
      <x:c r="E82" s="6" t="str">
        <x:v>Dry</x:v>
      </x:c>
      <x:c r="F82" s="7" t="n">
        <x:v>2.5340000000000003</x:v>
      </x:c>
      <x:c r="G82" s="6" t="str">
        <x:v>2024-11-01</x:v>
      </x:c>
      <x:c r="H82" s="6" t="str">
        <x:v>2025-05-01</x:v>
      </x:c>
      <x:c r="I82" s="41" t="n">
        <x:v>14</x:v>
      </x:c>
      <x:c r="J82" s="42" t="n">
        <x:v>8297.48</x:v>
      </x:c>
      <x:c r="K82" s="42" t="n">
        <x:v>8296.57</x:v>
      </x:c>
      <x:c r="L82" s="43" t="n">
        <x:v>0.00010967185217680548</x:v>
      </x:c>
      <x:c r="M82" s="10" t="n">
        <x:v>35.20635636172539</x:v>
      </x:c>
      <x:c r="N82" s="10" t="n">
        <x:v>28.815643091060522</x:v>
      </x:c>
      <x:c r="O82" s="10" t="n">
        <x:v>13.140731651754882</x:v>
      </x:c>
      <x:c r="P82" s="10" t="n">
        <x:v>22.837268895459207</x:v>
      </x:c>
      <x:c r="Q82" s="10" t="n">
        <x:v>35.97800054721409</x:v>
      </x:c>
      <x:c r="R82" s="44" t="n">
        <x:v>1.391864348760994</x:v>
      </x:c>
      <x:c r="S82" s="44" t="n">
        <x:v>2.5406222089369463</x:v>
      </x:c>
      <x:c r="T82" s="45" t="n">
        <x:v>1086706</x:v>
      </x:c>
      <x:c r="U82" s="45" t="n">
        <x:v>1021139</x:v>
      </x:c>
      <x:c r="V82" s="6" t="str">
        <x:v>Percent reversal groups use eligible pixels; insufficient share uses full domain</x:v>
      </x:c>
    </x:row>
    <x:row r="83">
      <x:c r="A83" s="6" t="str">
        <x:v>Production relative index · Cropland min/max</x:v>
      </x:c>
      <x:c r="B83" s="6" t="str">
        <x:v>UCRIS</x:v>
      </x:c>
      <x:c r="C83" s="6" t="str">
        <x:v>P80</x:v>
      </x:c>
      <x:c r="D83" s="6" t="str">
        <x:v>UCRIS · 2024–2025 Dry</x:v>
      </x:c>
      <x:c r="E83" s="6" t="str">
        <x:v>Dry</x:v>
      </x:c>
      <x:c r="F83" s="7" t="n">
        <x:v>0.0443</x:v>
      </x:c>
      <x:c r="G83" s="6" t="str">
        <x:v>2024-11-01</x:v>
      </x:c>
      <x:c r="H83" s="6" t="str">
        <x:v>2025-05-01</x:v>
      </x:c>
      <x:c r="I83" s="41" t="n">
        <x:v>14</x:v>
      </x:c>
      <x:c r="J83" s="42" t="n">
        <x:v>8297.48</x:v>
      </x:c>
      <x:c r="K83" s="42" t="n">
        <x:v>8297.48</x:v>
      </x:c>
      <x:c r="L83" s="43" t="n">
        <x:v>0</x:v>
      </x:c>
      <x:c r="M83" s="10" t="n">
        <x:v>26.82525296837112</x:v>
      </x:c>
      <x:c r="N83" s="10" t="n">
        <x:v>25.818320743165394</x:v>
      </x:c>
      <x:c r="O83" s="10" t="n">
        <x:v>20.615415764786416</x:v>
      </x:c>
      <x:c r="P83" s="10" t="n">
        <x:v>26.74101052367707</x:v>
      </x:c>
      <x:c r="Q83" s="10" t="n">
        <x:v>47.35642628846349</x:v>
      </x:c>
      <x:c r="R83" s="44" t="n">
        <x:v>1.6677991390157012</x:v>
      </x:c>
      <x:c r="S83" s="44" t="n">
        <x:v>3.13353090335861</x:v>
      </x:c>
      <x:c r="T83" s="45" t="n">
        <x:v>1333137</x:v>
      </x:c>
      <x:c r="U83" s="45" t="n">
        <x:v>1266904</x:v>
      </x:c>
      <x:c r="V83" s="6" t="str">
        <x:v>All fixed-support Cropland pixels are eligible</x:v>
      </x:c>
    </x:row>
    <x:row r="84">
      <x:c r="A84" s="6" t="str">
        <x:v>Rice-reference relative index · rice raw min/max</x:v>
      </x:c>
      <x:c r="B84" s="6" t="str">
        <x:v>UCRIS</x:v>
      </x:c>
      <x:c r="C84" s="6" t="str">
        <x:v>P80</x:v>
      </x:c>
      <x:c r="D84" s="6" t="str">
        <x:v>UCRIS · 2024–2025 Dry</x:v>
      </x:c>
      <x:c r="E84" s="6" t="str">
        <x:v>Dry</x:v>
      </x:c>
      <x:c r="F84" s="7" t="n">
        <x:v>0.0468</x:v>
      </x:c>
      <x:c r="G84" s="6" t="str">
        <x:v>2024-11-01</x:v>
      </x:c>
      <x:c r="H84" s="6" t="str">
        <x:v>2025-05-01</x:v>
      </x:c>
      <x:c r="I84" s="41" t="n">
        <x:v>14</x:v>
      </x:c>
      <x:c r="J84" s="42" t="n">
        <x:v>8297.48</x:v>
      </x:c>
      <x:c r="K84" s="42" t="n">
        <x:v>8297.48</x:v>
      </x:c>
      <x:c r="L84" s="43" t="n">
        <x:v>0</x:v>
      </x:c>
      <x:c r="M84" s="10" t="n">
        <x:v>26.864421487005693</x:v>
      </x:c>
      <x:c r="N84" s="10" t="n">
        <x:v>25.832059854317215</x:v>
      </x:c>
      <x:c r="O84" s="10" t="n">
        <x:v>20.60408702401211</x:v>
      </x:c>
      <x:c r="P84" s="10" t="n">
        <x:v>26.699431634664982</x:v>
      </x:c>
      <x:c r="Q84" s="10" t="n">
        <x:v>47.30351865867709</x:v>
      </x:c>
      <x:c r="R84" s="44" t="n">
        <x:v>1.665996181973322</x:v>
      </x:c>
      <x:c r="S84" s="44" t="n">
        <x:v>3.130897573721178</x:v>
      </x:c>
      <x:c r="T84" s="45" t="n">
        <x:v>1332010</x:v>
      </x:c>
      <x:c r="U84" s="45" t="n">
        <x:v>1265846</x:v>
      </x:c>
      <x:c r="V84" s="6" t="str">
        <x:v>All fixed-support Cropland pixels are eligible</x:v>
      </x:c>
    </x:row>
    <x:row r="85">
      <x:c r="A85" s="6" t="str">
        <x:v>Experimental Lovell WI · QC rice P1/P99</x:v>
      </x:c>
      <x:c r="B85" s="6" t="str">
        <x:v>UCRIS</x:v>
      </x:c>
      <x:c r="C85" s="6" t="str">
        <x:v>P80</x:v>
      </x:c>
      <x:c r="D85" s="6" t="str">
        <x:v>UCRIS · 2025–2026 Wet</x:v>
      </x:c>
      <x:c r="E85" s="6" t="str">
        <x:v>Wet</x:v>
      </x:c>
      <x:c r="F85" s="7" t="n">
        <x:v>2.5340000000000003</x:v>
      </x:c>
      <x:c r="G85" s="6" t="str">
        <x:v>2025-07-01</x:v>
      </x:c>
      <x:c r="H85" s="6" t="str">
        <x:v>2026-01-01</x:v>
      </x:c>
      <x:c r="I85" s="41" t="n">
        <x:v>12</x:v>
      </x:c>
      <x:c r="J85" s="42" t="n">
        <x:v>8297.48</x:v>
      </x:c>
      <x:c r="K85" s="42" t="n">
        <x:v>8295.84</x:v>
      </x:c>
      <x:c r="L85" s="43" t="n">
        <x:v>0.0001976503709560011</x:v>
      </x:c>
      <x:c r="M85" s="10" t="n">
        <x:v>31.956137051823564</x:v>
      </x:c>
      <x:c r="N85" s="10" t="n">
        <x:v>33.62022411232618</x:v>
      </x:c>
      <x:c r="O85" s="10" t="n">
        <x:v>12.531823178846265</x:v>
      </x:c>
      <x:c r="P85" s="10" t="n">
        <x:v>21.891815657003992</x:v>
      </x:c>
      <x:c r="Q85" s="10" t="n">
        <x:v>34.423638835850255</x:v>
      </x:c>
      <x:c r="R85" s="44" t="n">
        <x:v>1.3652758491002719</x:v>
      </x:c>
      <x:c r="S85" s="44" t="n">
        <x:v>2.8264250515921234</x:v>
      </x:c>
      <x:c r="T85" s="45" t="n">
        <x:v>1188592</x:v>
      </x:c>
      <x:c r="U85" s="45" t="n">
        <x:v>1156165</x:v>
      </x:c>
      <x:c r="V85" s="6" t="str">
        <x:v>Percent reversal groups use eligible pixels; insufficient share uses full domain</x:v>
      </x:c>
    </x:row>
    <x:row r="86">
      <x:c r="A86" s="6" t="str">
        <x:v>Production relative index · Cropland min/max</x:v>
      </x:c>
      <x:c r="B86" s="6" t="str">
        <x:v>UCRIS</x:v>
      </x:c>
      <x:c r="C86" s="6" t="str">
        <x:v>P80</x:v>
      </x:c>
      <x:c r="D86" s="6" t="str">
        <x:v>UCRIS · 2025–2026 Wet</x:v>
      </x:c>
      <x:c r="E86" s="6" t="str">
        <x:v>Wet</x:v>
      </x:c>
      <x:c r="F86" s="7" t="n">
        <x:v>0.0443</x:v>
      </x:c>
      <x:c r="G86" s="6" t="str">
        <x:v>2025-07-01</x:v>
      </x:c>
      <x:c r="H86" s="6" t="str">
        <x:v>2026-01-01</x:v>
      </x:c>
      <x:c r="I86" s="41" t="n">
        <x:v>12</x:v>
      </x:c>
      <x:c r="J86" s="42" t="n">
        <x:v>8297.48</x:v>
      </x:c>
      <x:c r="K86" s="42" t="n">
        <x:v>8297.48</x:v>
      </x:c>
      <x:c r="L86" s="43" t="n">
        <x:v>0</x:v>
      </x:c>
      <x:c r="M86" s="10" t="n">
        <x:v>49.134556515954245</x:v>
      </x:c>
      <x:c r="N86" s="10" t="n">
        <x:v>29.970906829543427</x:v>
      </x:c>
      <x:c r="O86" s="10" t="n">
        <x:v>13.80443218905017</x:v>
      </x:c>
      <x:c r="P86" s="10" t="n">
        <x:v>7.090104465452161</x:v>
      </x:c>
      <x:c r="Q86" s="10" t="n">
        <x:v>20.894536654502332</x:v>
      </x:c>
      <x:c r="R86" s="44" t="n">
        <x:v>0.8115512179601517</x:v>
      </x:c>
      <x:c r="S86" s="44" t="n">
        <x:v>2.2766225408196226</x:v>
      </x:c>
      <x:c r="T86" s="45" t="n">
        <x:v>986410</x:v>
      </x:c>
      <x:c r="U86" s="45" t="n">
        <x:v>902613</x:v>
      </x:c>
      <x:c r="V86" s="6" t="str">
        <x:v>All fixed-support Cropland pixels are eligible</x:v>
      </x:c>
    </x:row>
    <x:row r="87">
      <x:c r="A87" s="6" t="str">
        <x:v>Rice-reference relative index · rice raw min/max</x:v>
      </x:c>
      <x:c r="B87" s="6" t="str">
        <x:v>UCRIS</x:v>
      </x:c>
      <x:c r="C87" s="6" t="str">
        <x:v>P80</x:v>
      </x:c>
      <x:c r="D87" s="6" t="str">
        <x:v>UCRIS · 2025–2026 Wet</x:v>
      </x:c>
      <x:c r="E87" s="6" t="str">
        <x:v>Wet</x:v>
      </x:c>
      <x:c r="F87" s="7" t="n">
        <x:v>0.0468</x:v>
      </x:c>
      <x:c r="G87" s="6" t="str">
        <x:v>2025-07-01</x:v>
      </x:c>
      <x:c r="H87" s="6" t="str">
        <x:v>2026-01-01</x:v>
      </x:c>
      <x:c r="I87" s="41" t="n">
        <x:v>12</x:v>
      </x:c>
      <x:c r="J87" s="42" t="n">
        <x:v>8297.48</x:v>
      </x:c>
      <x:c r="K87" s="42" t="n">
        <x:v>8297.48</x:v>
      </x:c>
      <x:c r="L87" s="43" t="n">
        <x:v>0</x:v>
      </x:c>
      <x:c r="M87" s="10" t="n">
        <x:v>49.184933256844246</x:v>
      </x:c>
      <x:c r="N87" s="10" t="n">
        <x:v>29.95463682949522</x:v>
      </x:c>
      <x:c r="O87" s="10" t="n">
        <x:v>13.787800633445336</x:v>
      </x:c>
      <x:c r="P87" s="10" t="n">
        <x:v>7.072629280215198</x:v>
      </x:c>
      <x:c r="Q87" s="10" t="n">
        <x:v>20.860429913660532</x:v>
      </x:c>
      <x:c r="R87" s="44" t="n">
        <x:v>0.8104786031421588</x:v>
      </x:c>
      <x:c r="S87" s="44" t="n">
        <x:v>2.274597829702512</x:v>
      </x:c>
      <x:c r="T87" s="45" t="n">
        <x:v>985575</x:v>
      </x:c>
      <x:c r="U87" s="45" t="n">
        <x:v>901768</x:v>
      </x:c>
      <x:c r="V87" s="6" t="str">
        <x:v>All fixed-support Cropland pixels are eligible</x:v>
      </x:c>
    </x:row>
    <x:row r="88">
      <x:c r="A88" s="6" t="str">
        <x:v>Experimental Lovell WI · QC rice P1/P99</x:v>
      </x:c>
      <x:c r="B88" s="6" t="str">
        <x:v>UCRIS</x:v>
      </x:c>
      <x:c r="C88" s="6" t="str">
        <x:v>P90</x:v>
      </x:c>
      <x:c r="D88" s="6" t="str">
        <x:v>UCRIS · 2023–2024 Wet</x:v>
      </x:c>
      <x:c r="E88" s="6" t="str">
        <x:v>Wet</x:v>
      </x:c>
      <x:c r="F88" s="7" t="n">
        <x:v>4.697</x:v>
      </x:c>
      <x:c r="G88" s="6" t="str">
        <x:v>2023-07-01</x:v>
      </x:c>
      <x:c r="H88" s="6" t="str">
        <x:v>2024-01-01</x:v>
      </x:c>
      <x:c r="I88" s="41" t="n">
        <x:v>14</x:v>
      </x:c>
      <x:c r="J88" s="42" t="n">
        <x:v>8297.48</x:v>
      </x:c>
      <x:c r="K88" s="42" t="n">
        <x:v>8296.72</x:v>
      </x:c>
      <x:c r="L88" s="43" t="n">
        <x:v>0.00009159407434546391</x:v>
      </x:c>
      <x:c r="M88" s="10" t="n">
        <x:v>60.5082490429953</x:v>
      </x:c>
      <x:c r="N88" s="10" t="n">
        <x:v>26.563509435053852</x:v>
      </x:c>
      <x:c r="O88" s="10" t="n">
        <x:v>4.83395847997763</x:v>
      </x:c>
      <x:c r="P88" s="10" t="n">
        <x:v>8.094283041973213</x:v>
      </x:c>
      <x:c r="Q88" s="10" t="n">
        <x:v>12.928241521950843</x:v>
      </x:c>
      <x:c r="R88" s="44" t="n">
        <x:v>0.6358717661919409</x:v>
      </x:c>
      <x:c r="S88" s="44" t="n">
        <x:v>1.2680107319519038</x:v>
      </x:c>
      <x:c r="T88" s="45" t="n">
        <x:v>518713</x:v>
      </x:c>
      <x:c r="U88" s="45" t="n">
        <x:v>533320</x:v>
      </x:c>
      <x:c r="V88" s="6" t="str">
        <x:v>Percent reversal groups use eligible pixels; insufficient share uses full domain</x:v>
      </x:c>
    </x:row>
    <x:row r="89">
      <x:c r="A89" s="6" t="str">
        <x:v>Production relative index · Cropland min/max</x:v>
      </x:c>
      <x:c r="B89" s="6" t="str">
        <x:v>UCRIS</x:v>
      </x:c>
      <x:c r="C89" s="6" t="str">
        <x:v>P90</x:v>
      </x:c>
      <x:c r="D89" s="6" t="str">
        <x:v>UCRIS · 2023–2024 Wet</x:v>
      </x:c>
      <x:c r="E89" s="6" t="str">
        <x:v>Wet</x:v>
      </x:c>
      <x:c r="F89" s="7" t="n">
        <x:v>0.0588</x:v>
      </x:c>
      <x:c r="G89" s="6" t="str">
        <x:v>2023-07-01</x:v>
      </x:c>
      <x:c r="H89" s="6" t="str">
        <x:v>2024-01-01</x:v>
      </x:c>
      <x:c r="I89" s="41" t="n">
        <x:v>14</x:v>
      </x:c>
      <x:c r="J89" s="42" t="n">
        <x:v>8297.48</x:v>
      </x:c>
      <x:c r="K89" s="42" t="n">
        <x:v>8297.48</x:v>
      </x:c>
      <x:c r="L89" s="43" t="n">
        <x:v>0</x:v>
      </x:c>
      <x:c r="M89" s="10" t="n">
        <x:v>59.38803106485342</x:v>
      </x:c>
      <x:c r="N89" s="10" t="n">
        <x:v>22.347146362510063</x:v>
      </x:c>
      <x:c r="O89" s="10" t="n">
        <x:v>11.734165071804934</x:v>
      </x:c>
      <x:c r="P89" s="10" t="n">
        <x:v>6.530657500831578</x:v>
      </x:c>
      <x:c r="Q89" s="10" t="n">
        <x:v>18.26482257263651</x:v>
      </x:c>
      <x:c r="R89" s="44" t="n">
        <x:v>0.6865518205527461</x:v>
      </x:c>
      <x:c r="S89" s="44" t="n">
        <x:v>1.6469747441391844</x:v>
      </x:c>
      <x:c r="T89" s="45" t="n">
        <x:v>713111</x:v>
      </x:c>
      <x:c r="U89" s="45" t="n">
        <x:v>653463</x:v>
      </x:c>
      <x:c r="V89" s="6" t="str">
        <x:v>All fixed-support Cropland pixels are eligible</x:v>
      </x:c>
    </x:row>
    <x:row r="90">
      <x:c r="A90" s="6" t="str">
        <x:v>Rice-reference relative index · rice raw min/max</x:v>
      </x:c>
      <x:c r="B90" s="6" t="str">
        <x:v>UCRIS</x:v>
      </x:c>
      <x:c r="C90" s="6" t="str">
        <x:v>P90</x:v>
      </x:c>
      <x:c r="D90" s="6" t="str">
        <x:v>UCRIS · 2023–2024 Wet</x:v>
      </x:c>
      <x:c r="E90" s="6" t="str">
        <x:v>Wet</x:v>
      </x:c>
      <x:c r="F90" s="7" t="n">
        <x:v>0.0621</x:v>
      </x:c>
      <x:c r="G90" s="6" t="str">
        <x:v>2023-07-01</x:v>
      </x:c>
      <x:c r="H90" s="6" t="str">
        <x:v>2024-01-01</x:v>
      </x:c>
      <x:c r="I90" s="41" t="n">
        <x:v>14</x:v>
      </x:c>
      <x:c r="J90" s="42" t="n">
        <x:v>8297.48</x:v>
      </x:c>
      <x:c r="K90" s="42" t="n">
        <x:v>8297.48</x:v>
      </x:c>
      <x:c r="L90" s="43" t="n">
        <x:v>0</x:v>
      </x:c>
      <x:c r="M90" s="10" t="n">
        <x:v>59.403698472307255</x:v>
      </x:c>
      <x:c r="N90" s="10" t="n">
        <x:v>22.343289769906043</x:v>
      </x:c>
      <x:c r="O90" s="10" t="n">
        <x:v>11.727416034747899</x:v>
      </x:c>
      <x:c r="P90" s="10" t="n">
        <x:v>6.525595723038802</x:v>
      </x:c>
      <x:c r="Q90" s="10" t="n">
        <x:v>18.2530117577867</x:v>
      </x:c>
      <x:c r="R90" s="44" t="n">
        <x:v>0.6861950857368744</x:v>
      </x:c>
      <x:c r="S90" s="44" t="n">
        <x:v>1.646334790803955</x:v>
      </x:c>
      <x:c r="T90" s="45" t="n">
        <x:v>712880</x:v>
      </x:c>
      <x:c r="U90" s="45" t="n">
        <x:v>653163</x:v>
      </x:c>
      <x:c r="V90" s="6" t="str">
        <x:v>All fixed-support Cropland pixels are eligible</x:v>
      </x:c>
    </x:row>
    <x:row r="91">
      <x:c r="A91" s="6" t="str">
        <x:v>Experimental Lovell WI · QC rice P1/P99</x:v>
      </x:c>
      <x:c r="B91" s="6" t="str">
        <x:v>UCRIS</x:v>
      </x:c>
      <x:c r="C91" s="6" t="str">
        <x:v>P90</x:v>
      </x:c>
      <x:c r="D91" s="6" t="str">
        <x:v>UCRIS · 2023–2024 Dry</x:v>
      </x:c>
      <x:c r="E91" s="6" t="str">
        <x:v>Dry</x:v>
      </x:c>
      <x:c r="F91" s="7" t="n">
        <x:v>4.697</x:v>
      </x:c>
      <x:c r="G91" s="6" t="str">
        <x:v>2023-11-01</x:v>
      </x:c>
      <x:c r="H91" s="6" t="str">
        <x:v>2024-05-01</x:v>
      </x:c>
      <x:c r="I91" s="41" t="n">
        <x:v>11</x:v>
      </x:c>
      <x:c r="J91" s="42" t="n">
        <x:v>8297.48</x:v>
      </x:c>
      <x:c r="K91" s="42" t="n">
        <x:v>8296.89</x:v>
      </x:c>
      <x:c r="L91" s="43" t="n">
        <x:v>0.00007110592613661016</x:v>
      </x:c>
      <x:c r="M91" s="10" t="n">
        <x:v>75.09910339898444</x:v>
      </x:c>
      <x:c r="N91" s="10" t="n">
        <x:v>20.92555162235488</x:v>
      </x:c>
      <x:c r="O91" s="10" t="n">
        <x:v>3.1508191623608366</x:v>
      </x:c>
      <x:c r="P91" s="10" t="n">
        <x:v>0.8245258162998425</x:v>
      </x:c>
      <x:c r="Q91" s="10" t="n">
        <x:v>3.975344978660679</x:v>
      </x:c>
      <x:c r="R91" s="44" t="n">
        <x:v>0.29851908365664725</x:v>
      </x:c>
      <x:c r="S91" s="44" t="n">
        <x:v>0.8401521533972368</x:v>
      </x:c>
      <x:c r="T91" s="45" t="n">
        <x:v>360163</x:v>
      </x:c>
      <x:c r="U91" s="45" t="n">
        <x:v>336902</x:v>
      </x:c>
      <x:c r="V91" s="6" t="str">
        <x:v>Percent reversal groups use eligible pixels; insufficient share uses full domain</x:v>
      </x:c>
    </x:row>
    <x:row r="92">
      <x:c r="A92" s="6" t="str">
        <x:v>Production relative index · Cropland min/max</x:v>
      </x:c>
      <x:c r="B92" s="6" t="str">
        <x:v>UCRIS</x:v>
      </x:c>
      <x:c r="C92" s="6" t="str">
        <x:v>P90</x:v>
      </x:c>
      <x:c r="D92" s="6" t="str">
        <x:v>UCRIS · 2023–2024 Dry</x:v>
      </x:c>
      <x:c r="E92" s="6" t="str">
        <x:v>Dry</x:v>
      </x:c>
      <x:c r="F92" s="7" t="n">
        <x:v>0.0588</x:v>
      </x:c>
      <x:c r="G92" s="6" t="str">
        <x:v>2023-11-01</x:v>
      </x:c>
      <x:c r="H92" s="6" t="str">
        <x:v>2024-05-01</x:v>
      </x:c>
      <x:c r="I92" s="41" t="n">
        <x:v>11</x:v>
      </x:c>
      <x:c r="J92" s="42" t="n">
        <x:v>8297.48</x:v>
      </x:c>
      <x:c r="K92" s="42" t="n">
        <x:v>8297.48</x:v>
      </x:c>
      <x:c r="L92" s="43" t="n">
        <x:v>0</x:v>
      </x:c>
      <x:c r="M92" s="10" t="n">
        <x:v>80.63339712780265</x:v>
      </x:c>
      <x:c r="N92" s="10" t="n">
        <x:v>15.697898639104885</x:v>
      </x:c>
      <x:c r="O92" s="10" t="n">
        <x:v>3.1019056388204613</x:v>
      </x:c>
      <x:c r="P92" s="10" t="n">
        <x:v>0.5667985942719959</x:v>
      </x:c>
      <x:c r="Q92" s="10" t="n">
        <x:v>3.668704233092457</x:v>
      </x:c>
      <x:c r="R92" s="44" t="n">
        <x:v>0.2368128636646307</x:v>
      </x:c>
      <x:c r="S92" s="44" t="n">
        <x:v>1.1550145345333764</x:v>
      </x:c>
      <x:c r="T92" s="45" t="n">
        <x:v>511979</x:v>
      </x:c>
      <x:c r="U92" s="45" t="n">
        <x:v>446392</x:v>
      </x:c>
      <x:c r="V92" s="6" t="str">
        <x:v>All fixed-support Cropland pixels are eligible</x:v>
      </x:c>
    </x:row>
    <x:row r="93">
      <x:c r="A93" s="6" t="str">
        <x:v>Rice-reference relative index · rice raw min/max</x:v>
      </x:c>
      <x:c r="B93" s="6" t="str">
        <x:v>UCRIS</x:v>
      </x:c>
      <x:c r="C93" s="6" t="str">
        <x:v>P90</x:v>
      </x:c>
      <x:c r="D93" s="6" t="str">
        <x:v>UCRIS · 2023–2024 Dry</x:v>
      </x:c>
      <x:c r="E93" s="6" t="str">
        <x:v>Dry</x:v>
      </x:c>
      <x:c r="F93" s="7" t="n">
        <x:v>0.0621</x:v>
      </x:c>
      <x:c r="G93" s="6" t="str">
        <x:v>2023-11-01</x:v>
      </x:c>
      <x:c r="H93" s="6" t="str">
        <x:v>2024-05-01</x:v>
      </x:c>
      <x:c r="I93" s="41" t="n">
        <x:v>11</x:v>
      </x:c>
      <x:c r="J93" s="42" t="n">
        <x:v>8297.48</x:v>
      </x:c>
      <x:c r="K93" s="42" t="n">
        <x:v>8297.48</x:v>
      </x:c>
      <x:c r="L93" s="43" t="n">
        <x:v>0</x:v>
      </x:c>
      <x:c r="M93" s="10" t="n">
        <x:v>80.64327964635046</x:v>
      </x:c>
      <x:c r="N93" s="10" t="n">
        <x:v>15.691631676123354</x:v>
      </x:c>
      <x:c r="O93" s="10" t="n">
        <x:v>3.0986516388108196</x:v>
      </x:c>
      <x:c r="P93" s="10" t="n">
        <x:v>0.566437038715369</x:v>
      </x:c>
      <x:c r="Q93" s="10" t="n">
        <x:v>3.665088677526189</x:v>
      </x:c>
      <x:c r="R93" s="44" t="n">
        <x:v>0.236673062182735</x:v>
      </x:c>
      <x:c r="S93" s="44" t="n">
        <x:v>1.1545686160135367</x:v>
      </x:c>
      <x:c r="T93" s="45" t="n">
        <x:v>511768</x:v>
      </x:c>
      <x:c r="U93" s="45" t="n">
        <x:v>446233</x:v>
      </x:c>
      <x:c r="V93" s="6" t="str">
        <x:v>All fixed-support Cropland pixels are eligible</x:v>
      </x:c>
    </x:row>
    <x:row r="94">
      <x:c r="A94" s="6" t="str">
        <x:v>Experimental Lovell WI · QC rice P1/P99</x:v>
      </x:c>
      <x:c r="B94" s="6" t="str">
        <x:v>UCRIS</x:v>
      </x:c>
      <x:c r="C94" s="6" t="str">
        <x:v>P90</x:v>
      </x:c>
      <x:c r="D94" s="6" t="str">
        <x:v>UCRIS · 2024–2025 Wet</x:v>
      </x:c>
      <x:c r="E94" s="6" t="str">
        <x:v>Wet</x:v>
      </x:c>
      <x:c r="F94" s="7" t="n">
        <x:v>4.697</x:v>
      </x:c>
      <x:c r="G94" s="6" t="str">
        <x:v>2024-07-01</x:v>
      </x:c>
      <x:c r="H94" s="6" t="str">
        <x:v>2025-01-01</x:v>
      </x:c>
      <x:c r="I94" s="41" t="n">
        <x:v>14</x:v>
      </x:c>
      <x:c r="J94" s="42" t="n">
        <x:v>8297.48</x:v>
      </x:c>
      <x:c r="K94" s="42" t="n">
        <x:v>8296.37</x:v>
      </x:c>
      <x:c r="L94" s="43" t="n">
        <x:v>0.00013377555595192757</x:v>
      </x:c>
      <x:c r="M94" s="10" t="n">
        <x:v>56.75096457848432</x:v>
      </x:c>
      <x:c r="N94" s="10" t="n">
        <x:v>28.285021039322018</x:v>
      </x:c>
      <x:c r="O94" s="10" t="n">
        <x:v>5.506263582747636</x:v>
      </x:c>
      <x:c r="P94" s="10" t="n">
        <x:v>9.457750799446023</x:v>
      </x:c>
      <x:c r="Q94" s="10" t="n">
        <x:v>14.964014382193659</x:v>
      </x:c>
      <x:c r="R94" s="44" t="n">
        <x:v>0.7167291237010885</x:v>
      </x:c>
      <x:c r="S94" s="44" t="n">
        <x:v>1.4256259062698506</x:v>
      </x:c>
      <x:c r="T94" s="45" t="n">
        <x:v>578122</x:v>
      </x:c>
      <x:c r="U94" s="45" t="n">
        <x:v>604630</x:v>
      </x:c>
      <x:c r="V94" s="6" t="str">
        <x:v>Percent reversal groups use eligible pixels; insufficient share uses full domain</x:v>
      </x:c>
    </x:row>
    <x:row r="95">
      <x:c r="A95" s="6" t="str">
        <x:v>Production relative index · Cropland min/max</x:v>
      </x:c>
      <x:c r="B95" s="6" t="str">
        <x:v>UCRIS</x:v>
      </x:c>
      <x:c r="C95" s="6" t="str">
        <x:v>P90</x:v>
      </x:c>
      <x:c r="D95" s="6" t="str">
        <x:v>UCRIS · 2024–2025 Wet</x:v>
      </x:c>
      <x:c r="E95" s="6" t="str">
        <x:v>Wet</x:v>
      </x:c>
      <x:c r="F95" s="7" t="n">
        <x:v>0.0588</x:v>
      </x:c>
      <x:c r="G95" s="6" t="str">
        <x:v>2024-07-01</x:v>
      </x:c>
      <x:c r="H95" s="6" t="str">
        <x:v>2025-01-01</x:v>
      </x:c>
      <x:c r="I95" s="41" t="n">
        <x:v>14</x:v>
      </x:c>
      <x:c r="J95" s="42" t="n">
        <x:v>8297.48</x:v>
      </x:c>
      <x:c r="K95" s="42" t="n">
        <x:v>8297.48</x:v>
      </x:c>
      <x:c r="L95" s="43" t="n">
        <x:v>0</x:v>
      </x:c>
      <x:c r="M95" s="10" t="n">
        <x:v>60.75073395777995</x:v>
      </x:c>
      <x:c r="N95" s="10" t="n">
        <x:v>22.321114362432933</x:v>
      </x:c>
      <x:c r="O95" s="10" t="n">
        <x:v>10.921388180507817</x:v>
      </x:c>
      <x:c r="P95" s="10" t="n">
        <x:v>6.006763499279299</x:v>
      </x:c>
      <x:c r="Q95" s="10" t="n">
        <x:v>16.928151679787117</x:v>
      </x:c>
      <x:c r="R95" s="44" t="n">
        <x:v>0.6484956878473946</x:v>
      </x:c>
      <x:c r="S95" s="44" t="n">
        <x:v>1.5792915439386417</x:v>
      </x:c>
      <x:c r="T95" s="45" t="n">
        <x:v>660754</x:v>
      </x:c>
      <x:c r="U95" s="45" t="n">
        <x:v>649660</x:v>
      </x:c>
      <x:c r="V95" s="6" t="str">
        <x:v>All fixed-support Cropland pixels are eligible</x:v>
      </x:c>
    </x:row>
    <x:row r="96">
      <x:c r="A96" s="6" t="str">
        <x:v>Rice-reference relative index · rice raw min/max</x:v>
      </x:c>
      <x:c r="B96" s="6" t="str">
        <x:v>UCRIS</x:v>
      </x:c>
      <x:c r="C96" s="6" t="str">
        <x:v>P90</x:v>
      </x:c>
      <x:c r="D96" s="6" t="str">
        <x:v>UCRIS · 2024–2025 Wet</x:v>
      </x:c>
      <x:c r="E96" s="6" t="str">
        <x:v>Wet</x:v>
      </x:c>
      <x:c r="F96" s="7" t="n">
        <x:v>0.0621</x:v>
      </x:c>
      <x:c r="G96" s="6" t="str">
        <x:v>2024-07-01</x:v>
      </x:c>
      <x:c r="H96" s="6" t="str">
        <x:v>2025-01-01</x:v>
      </x:c>
      <x:c r="I96" s="41" t="n">
        <x:v>14</x:v>
      </x:c>
      <x:c r="J96" s="42" t="n">
        <x:v>8297.48</x:v>
      </x:c>
      <x:c r="K96" s="42" t="n">
        <x:v>8297.48</x:v>
      </x:c>
      <x:c r="L96" s="43" t="n">
        <x:v>0</x:v>
      </x:c>
      <x:c r="M96" s="10" t="n">
        <x:v>60.764714105969524</x:v>
      </x:c>
      <x:c r="N96" s="10" t="n">
        <x:v>22.316052584640154</x:v>
      </x:c>
      <x:c r="O96" s="10" t="n">
        <x:v>10.916687958271668</x:v>
      </x:c>
      <x:c r="P96" s="10" t="n">
        <x:v>6.002545351118653</x:v>
      </x:c>
      <x:c r="Q96" s="10" t="n">
        <x:v>16.91923330939032</x:v>
      </x:c>
      <x:c r="R96" s="44" t="n">
        <x:v>0.6481980071057719</x:v>
      </x:c>
      <x:c r="S96" s="44" t="n">
        <x:v>1.5787576469000226</x:v>
      </x:c>
      <x:c r="T96" s="45" t="n">
        <x:v>660554</x:v>
      </x:c>
      <x:c r="U96" s="45" t="n">
        <x:v>649417</x:v>
      </x:c>
      <x:c r="V96" s="6" t="str">
        <x:v>All fixed-support Cropland pixels are eligible</x:v>
      </x:c>
    </x:row>
    <x:row r="97">
      <x:c r="A97" s="6" t="str">
        <x:v>Experimental Lovell WI · QC rice P1/P99</x:v>
      </x:c>
      <x:c r="B97" s="6" t="str">
        <x:v>UCRIS</x:v>
      </x:c>
      <x:c r="C97" s="6" t="str">
        <x:v>P90</x:v>
      </x:c>
      <x:c r="D97" s="6" t="str">
        <x:v>UCRIS · 2024–2025 Dry</x:v>
      </x:c>
      <x:c r="E97" s="6" t="str">
        <x:v>Dry</x:v>
      </x:c>
      <x:c r="F97" s="7" t="n">
        <x:v>4.697</x:v>
      </x:c>
      <x:c r="G97" s="6" t="str">
        <x:v>2024-11-01</x:v>
      </x:c>
      <x:c r="H97" s="6" t="str">
        <x:v>2025-05-01</x:v>
      </x:c>
      <x:c r="I97" s="41" t="n">
        <x:v>14</x:v>
      </x:c>
      <x:c r="J97" s="42" t="n">
        <x:v>8297.48</x:v>
      </x:c>
      <x:c r="K97" s="42" t="n">
        <x:v>8296.57</x:v>
      </x:c>
      <x:c r="L97" s="43" t="n">
        <x:v>0.00010967185217680548</x:v>
      </x:c>
      <x:c r="M97" s="10" t="n">
        <x:v>61.831214586268786</x:v>
      </x:c>
      <x:c r="N97" s="10" t="n">
        <x:v>25.906730130644352</x:v>
      </x:c>
      <x:c r="O97" s="10" t="n">
        <x:v>5.088006248365288</x:v>
      </x:c>
      <x:c r="P97" s="10" t="n">
        <x:v>7.174049034721578</x:v>
      </x:c>
      <x:c r="Q97" s="10" t="n">
        <x:v>12.262055283086866</x:v>
      </x:c>
      <x:c r="R97" s="44" t="n">
        <x:v>0.6031191203111648</x:v>
      </x:c>
      <x:c r="S97" s="44" t="n">
        <x:v>1.2352622830880713</x:v>
      </x:c>
      <x:c r="T97" s="45" t="n">
        <x:v>525857</x:v>
      </x:c>
      <x:c r="U97" s="45" t="n">
        <x:v>498987</x:v>
      </x:c>
      <x:c r="V97" s="6" t="str">
        <x:v>Percent reversal groups use eligible pixels; insufficient share uses full domain</x:v>
      </x:c>
    </x:row>
    <x:row r="98">
      <x:c r="A98" s="6" t="str">
        <x:v>Production relative index · Cropland min/max</x:v>
      </x:c>
      <x:c r="B98" s="6" t="str">
        <x:v>UCRIS</x:v>
      </x:c>
      <x:c r="C98" s="6" t="str">
        <x:v>P90</x:v>
      </x:c>
      <x:c r="D98" s="6" t="str">
        <x:v>UCRIS · 2024–2025 Dry</x:v>
      </x:c>
      <x:c r="E98" s="6" t="str">
        <x:v>Dry</x:v>
      </x:c>
      <x:c r="F98" s="7" t="n">
        <x:v>0.0588</x:v>
      </x:c>
      <x:c r="G98" s="6" t="str">
        <x:v>2024-11-01</x:v>
      </x:c>
      <x:c r="H98" s="6" t="str">
        <x:v>2025-05-01</x:v>
      </x:c>
      <x:c r="I98" s="41" t="n">
        <x:v>14</x:v>
      </x:c>
      <x:c r="J98" s="42" t="n">
        <x:v>8297.48</x:v>
      </x:c>
      <x:c r="K98" s="42" t="n">
        <x:v>8297.48</x:v>
      </x:c>
      <x:c r="L98" s="43" t="n">
        <x:v>0</x:v>
      </x:c>
      <x:c r="M98" s="10" t="n">
        <x:v>58.66419684048651</x:v>
      </x:c>
      <x:c r="N98" s="10" t="n">
        <x:v>23.80783081128246</x:v>
      </x:c>
      <x:c r="O98" s="10" t="n">
        <x:v>10.668299290869035</x:v>
      </x:c>
      <x:c r="P98" s="10" t="n">
        <x:v>6.859673057361994</x:v>
      </x:c>
      <x:c r="Q98" s="10" t="n">
        <x:v>17.527972348231028</x:v>
      </x:c>
      <x:c r="R98" s="44" t="n">
        <x:v>0.6870001494429634</x:v>
      </x:c>
      <x:c r="S98" s="44" t="n">
        <x:v>1.6319629574280383</x:v>
      </x:c>
      <x:c r="T98" s="45" t="n">
        <x:v>682101</x:v>
      </x:c>
      <x:c r="U98" s="45" t="n">
        <x:v>672017</x:v>
      </x:c>
      <x:c r="V98" s="6" t="str">
        <x:v>All fixed-support Cropland pixels are eligible</x:v>
      </x:c>
    </x:row>
    <x:row r="99">
      <x:c r="A99" s="6" t="str">
        <x:v>Rice-reference relative index · rice raw min/max</x:v>
      </x:c>
      <x:c r="B99" s="6" t="str">
        <x:v>UCRIS</x:v>
      </x:c>
      <x:c r="C99" s="6" t="str">
        <x:v>P90</x:v>
      </x:c>
      <x:c r="D99" s="6" t="str">
        <x:v>UCRIS · 2024–2025 Dry</x:v>
      </x:c>
      <x:c r="E99" s="6" t="str">
        <x:v>Dry</x:v>
      </x:c>
      <x:c r="F99" s="7" t="n">
        <x:v>0.0621</x:v>
      </x:c>
      <x:c r="G99" s="6" t="str">
        <x:v>2024-11-01</x:v>
      </x:c>
      <x:c r="H99" s="6" t="str">
        <x:v>2025-05-01</x:v>
      </x:c>
      <x:c r="I99" s="41" t="n">
        <x:v>14</x:v>
      </x:c>
      <x:c r="J99" s="42" t="n">
        <x:v>8297.48</x:v>
      </x:c>
      <x:c r="K99" s="42" t="n">
        <x:v>8297.48</x:v>
      </x:c>
      <x:c r="L99" s="43" t="n">
        <x:v>0</x:v>
      </x:c>
      <x:c r="M99" s="10" t="n">
        <x:v>58.67877958127046</x:v>
      </x:c>
      <x:c r="N99" s="10" t="n">
        <x:v>23.80325110756519</x:v>
      </x:c>
      <x:c r="O99" s="10" t="n">
        <x:v>10.664201661227263</x:v>
      </x:c>
      <x:c r="P99" s="10" t="n">
        <x:v>6.853767649937089</x:v>
      </x:c>
      <x:c r="Q99" s="10" t="n">
        <x:v>17.517969311164354</x:v>
      </x:c>
      <x:c r="R99" s="44" t="n">
        <x:v>0.6866699287012442</x:v>
      </x:c>
      <x:c r="S99" s="44" t="n">
        <x:v>1.631441112241307</x:v>
      </x:c>
      <x:c r="T99" s="45" t="n">
        <x:v>681894</x:v>
      </x:c>
      <x:c r="U99" s="45" t="n">
        <x:v>671791</x:v>
      </x:c>
      <x:c r="V99" s="6" t="str">
        <x:v>All fixed-support Cropland pixels are eligible</x:v>
      </x:c>
    </x:row>
    <x:row r="100">
      <x:c r="A100" s="6" t="str">
        <x:v>Experimental Lovell WI · QC rice P1/P99</x:v>
      </x:c>
      <x:c r="B100" s="6" t="str">
        <x:v>UCRIS</x:v>
      </x:c>
      <x:c r="C100" s="6" t="str">
        <x:v>P90</x:v>
      </x:c>
      <x:c r="D100" s="6" t="str">
        <x:v>UCRIS · 2025–2026 Wet</x:v>
      </x:c>
      <x:c r="E100" s="6" t="str">
        <x:v>Wet</x:v>
      </x:c>
      <x:c r="F100" s="7" t="n">
        <x:v>4.697</x:v>
      </x:c>
      <x:c r="G100" s="6" t="str">
        <x:v>2025-07-01</x:v>
      </x:c>
      <x:c r="H100" s="6" t="str">
        <x:v>2026-01-01</x:v>
      </x:c>
      <x:c r="I100" s="41" t="n">
        <x:v>12</x:v>
      </x:c>
      <x:c r="J100" s="42" t="n">
        <x:v>8297.48</x:v>
      </x:c>
      <x:c r="K100" s="42" t="n">
        <x:v>8295.84</x:v>
      </x:c>
      <x:c r="L100" s="43" t="n">
        <x:v>0.0001976503709560011</x:v>
      </x:c>
      <x:c r="M100" s="10" t="n">
        <x:v>57.567889448205364</x:v>
      </x:c>
      <x:c r="N100" s="10" t="n">
        <x:v>29.56421531755675</x:v>
      </x:c>
      <x:c r="O100" s="10" t="n">
        <x:v>5.204415707149607</x:v>
      </x:c>
      <x:c r="P100" s="10" t="n">
        <x:v>7.663479527088276</x:v>
      </x:c>
      <x:c r="Q100" s="10" t="n">
        <x:v>12.867895234237883</x:v>
      </x:c>
      <x:c r="R100" s="44" t="n">
        <x:v>0.6544388512796775</x:v>
      </x:c>
      <x:c r="S100" s="44" t="n">
        <x:v>1.4668255414762097</x:v>
      </x:c>
      <x:c r="T100" s="45" t="n">
        <x:v>612436</x:v>
      </x:c>
      <x:c r="U100" s="45" t="n">
        <x:v>604419</x:v>
      </x:c>
      <x:c r="V100" s="6" t="str">
        <x:v>Percent reversal groups use eligible pixels; insufficient share uses full domain</x:v>
      </x:c>
    </x:row>
    <x:row r="101">
      <x:c r="A101" s="6" t="str">
        <x:v>Production relative index · Cropland min/max</x:v>
      </x:c>
      <x:c r="B101" s="6" t="str">
        <x:v>UCRIS</x:v>
      </x:c>
      <x:c r="C101" s="6" t="str">
        <x:v>P90</x:v>
      </x:c>
      <x:c r="D101" s="6" t="str">
        <x:v>UCRIS · 2025–2026 Wet</x:v>
      </x:c>
      <x:c r="E101" s="6" t="str">
        <x:v>Wet</x:v>
      </x:c>
      <x:c r="F101" s="7" t="n">
        <x:v>0.0588</x:v>
      </x:c>
      <x:c r="G101" s="6" t="str">
        <x:v>2025-07-01</x:v>
      </x:c>
      <x:c r="H101" s="6" t="str">
        <x:v>2026-01-01</x:v>
      </x:c>
      <x:c r="I101" s="41" t="n">
        <x:v>12</x:v>
      </x:c>
      <x:c r="J101" s="42" t="n">
        <x:v>8297.48</x:v>
      </x:c>
      <x:c r="K101" s="42" t="n">
        <x:v>8297.48</x:v>
      </x:c>
      <x:c r="L101" s="43" t="n">
        <x:v>0</x:v>
      </x:c>
      <x:c r="M101" s="10" t="n">
        <x:v>78.81356749278095</x:v>
      </x:c>
      <x:c r="N101" s="10" t="n">
        <x:v>16.390518567083017</x:v>
      </x:c>
      <x:c r="O101" s="10" t="n">
        <x:v>3.8350197891407993</x:v>
      </x:c>
      <x:c r="P101" s="10" t="n">
        <x:v>0.9608941509952419</x:v>
      </x:c>
      <x:c r="Q101" s="10" t="n">
        <x:v>4.7959139401360416</x:v>
      </x:c>
      <x:c r="R101" s="44" t="n">
        <x:v>0.27104373858087033</x:v>
      </x:c>
      <x:c r="S101" s="44" t="n">
        <x:v>1.1100575114372075</x:v>
      </x:c>
      <x:c r="T101" s="45" t="n">
        <x:v>498950</x:v>
      </x:c>
      <x:c r="U101" s="45" t="n">
        <x:v>422118</x:v>
      </x:c>
      <x:c r="V101" s="6" t="str">
        <x:v>All fixed-support Cropland pixels are eligible</x:v>
      </x:c>
    </x:row>
    <x:row r="102">
      <x:c r="A102" s="6" t="str">
        <x:v>Rice-reference relative index · rice raw min/max</x:v>
      </x:c>
      <x:c r="B102" s="6" t="str">
        <x:v>UCRIS</x:v>
      </x:c>
      <x:c r="C102" s="6" t="str">
        <x:v>P90</x:v>
      </x:c>
      <x:c r="D102" s="6" t="str">
        <x:v>UCRIS · 2025–2026 Wet</x:v>
      </x:c>
      <x:c r="E102" s="6" t="str">
        <x:v>Wet</x:v>
      </x:c>
      <x:c r="F102" s="7" t="n">
        <x:v>0.0621</x:v>
      </x:c>
      <x:c r="G102" s="6" t="str">
        <x:v>2025-07-01</x:v>
      </x:c>
      <x:c r="H102" s="6" t="str">
        <x:v>2026-01-01</x:v>
      </x:c>
      <x:c r="I102" s="41" t="n">
        <x:v>12</x:v>
      </x:c>
      <x:c r="J102" s="42" t="n">
        <x:v>8297.48</x:v>
      </x:c>
      <x:c r="K102" s="42" t="n">
        <x:v>8297.48</x:v>
      </x:c>
      <x:c r="L102" s="43" t="n">
        <x:v>0</x:v>
      </x:c>
      <x:c r="M102" s="10" t="n">
        <x:v>78.82417312244199</x:v>
      </x:c>
      <x:c r="N102" s="10" t="n">
        <x:v>16.383528492988233</x:v>
      </x:c>
      <x:c r="O102" s="10" t="n">
        <x:v>3.832368381725536</x:v>
      </x:c>
      <x:c r="P102" s="10" t="n">
        <x:v>0.959930002844237</x:v>
      </x:c>
      <x:c r="Q102" s="10" t="n">
        <x:v>4.792298384569773</x:v>
      </x:c>
      <x:c r="R102" s="44" t="n">
        <x:v>0.2708906800618983</x:v>
      </x:c>
      <x:c r="S102" s="44" t="n">
        <x:v>1.1096296706951991</x:v>
      </x:c>
      <x:c r="T102" s="45" t="n">
        <x:v>498761</x:v>
      </x:c>
      <x:c r="U102" s="45" t="n">
        <x:v>421952</x:v>
      </x:c>
      <x:c r="V102" s="6" t="str">
        <x:v>All fixed-support Cropland pixels are eligible</x:v>
      </x:c>
    </x:row>
  </x:sheetData>
  <x:conditionalFormatting sqref="M7:Q102">
    <x:cfRule type="colorScale" priority="1">
      <x:colorScale>
        <x:cfvo type="min"/>
        <x:cfvo type="percentile" val="50"/>
        <x:cfvo type="max"/>
        <x:color rgb="FFF6F0E3"/>
        <x:color rgb="FFDCEEF7"/>
        <x:color rgb="FF3B82A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b50399b20843ed"/>
  </x:tableParts>
</x:worksheet>
</file>

<file path=xl/worksheets/sheet4.xml><?xml version="1.0" encoding="utf-8"?>
<x:worksheet xmlns:x="http://schemas.openxmlformats.org/spreadsheetml/2006/main">
  <x:sheetPr>
    <x:tabColor rgb="FF4B8F8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48" t="str">
        <x:v>Production and rice-reference comparison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</x:row>
    <x:row r="4">
      <x:c r="A4" s="51" t="str">
        <x:v>Directly comparable because both use the same Cropland support and linear relative-index formula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</x:row>
    <x:row r="6">
      <x:c r="A6" s="6" t="str">
        <x:v>Spatial scope</x:v>
      </x:c>
      <x:c r="B6" s="6" t="str">
        <x:v>Threshold</x:v>
      </x:c>
      <x:c r="C6" s="6" t="str">
        <x:v>Window</x:v>
      </x:c>
      <x:c r="D6" s="6" t="str">
        <x:v>Production 2+ (%)</x:v>
      </x:c>
      <x:c r="E6" s="6" t="str">
        <x:v>Rice-reference 2+ (%)</x:v>
      </x:c>
      <x:c r="F6" s="6" t="str">
        <x:v>Difference (pp)</x:v>
      </x:c>
      <x:c r="G6" s="6" t="str">
        <x:v>Production mean reversals</x:v>
      </x:c>
      <x:c r="H6" s="6" t="str">
        <x:v>Rice-reference mean reversals</x:v>
      </x:c>
      <x:c r="I6" s="6" t="str">
        <x:v>Difference</x:v>
      </x:c>
      <x:c r="J6" s="47"/>
      <x:c r="K6" s="47"/>
      <x:c r="L6" s="47"/>
      <x:c r="M6" s="47"/>
      <x:c r="N6" s="47"/>
      <x:c r="O6" s="47"/>
      <x:c r="P6" s="47"/>
      <x:c r="Q6" s="47"/>
      <x:c r="R6" s="47"/>
    </x:row>
    <x:row r="7">
      <x:c r="A7" s="6" t="str">
        <x:v>Full Cropland AOI</x:v>
      </x:c>
      <x:c r="B7" s="6" t="str">
        <x:v>P80</x:v>
      </x:c>
      <x:c r="C7" s="6" t="str">
        <x:v>2023 November transition</x:v>
      </x:c>
      <x:c r="D7" s="44" t="n">
        <x:v>0</x:v>
      </x:c>
      <x:c r="E7" s="44" t="n">
        <x:v>0</x:v>
      </x:c>
      <x:c r="F7" s="44" t="n">
        <x:f>E7-D7</x:f>
        <x:v>0</x:v>
      </x:c>
      <x:c r="G7" s="44" t="n">
        <x:v>0.06126712198647827</x:v>
      </x:c>
      <x:c r="H7" s="44" t="n">
        <x:v>0.061192445313903394</x:v>
      </x:c>
      <x:c r="I7" s="44" t="n">
        <x:f>H7-G7</x:f>
        <x:v>-0.00007467667257487348</x:v>
      </x:c>
      <x:c r="J7" s="47"/>
      <x:c r="K7" s="47"/>
      <x:c r="L7" s="47"/>
      <x:c r="M7" s="47"/>
      <x:c r="N7" s="47"/>
      <x:c r="O7" s="47"/>
      <x:c r="P7" s="47"/>
      <x:c r="Q7" s="47"/>
      <x:c r="R7" s="47"/>
    </x:row>
    <x:row r="8">
      <x:c r="A8" s="6" t="str">
        <x:v>Full Cropland AOI</x:v>
      </x:c>
      <x:c r="B8" s="6" t="str">
        <x:v>P80</x:v>
      </x:c>
      <x:c r="C8" s="6" t="str">
        <x:v>2023 Wet core</x:v>
      </x:c>
      <x:c r="D8" s="44" t="n">
        <x:v>43.380696670987795</x:v>
      </x:c>
      <x:c r="E8" s="44" t="n">
        <x:v>43.32722489093308</x:v>
      </x:c>
      <x:c r="F8" s="44" t="n">
        <x:f>E8-D8</x:f>
        <x:v>-0.0534717800547142</x:v>
      </x:c>
      <x:c r="G8" s="44" t="n">
        <x:v>1.4904172185696758</x:v>
      </x:c>
      <x:c r="H8" s="44" t="n">
        <x:v>1.4886315434100832</x:v>
      </x:c>
      <x:c r="I8" s="44" t="n">
        <x:f>H8-G8</x:f>
        <x:v>-0.0017856751595926035</x:v>
      </x:c>
      <x:c r="J8" s="47"/>
      <x:c r="K8" s="47"/>
      <x:c r="L8" s="47"/>
      <x:c r="M8" s="47"/>
      <x:c r="N8" s="47"/>
      <x:c r="O8" s="47"/>
      <x:c r="P8" s="47"/>
      <x:c r="Q8" s="47"/>
      <x:c r="R8" s="47"/>
    </x:row>
    <x:row r="9">
      <x:c r="A9" s="6" t="str">
        <x:v>Full Cropland AOI</x:v>
      </x:c>
      <x:c r="B9" s="6" t="str">
        <x:v>P80</x:v>
      </x:c>
      <x:c r="C9" s="6" t="str">
        <x:v>2023–2024 Dry core</x:v>
      </x:c>
      <x:c r="D9" s="44" t="n">
        <x:v>5.445710182131481</x:v>
      </x:c>
      <x:c r="E9" s="44" t="n">
        <x:v>5.433121828754572</x:v>
      </x:c>
      <x:c r="F9" s="44" t="n">
        <x:f>E9-D9</x:f>
        <x:v>-0.012588353376908223</x:v>
      </x:c>
      <x:c r="G9" s="44" t="n">
        <x:v>0.290770775686293</x:v>
      </x:c>
      <x:c r="H9" s="44" t="n">
        <x:v>0.29028307957078475</x:v>
      </x:c>
      <x:c r="I9" s="44" t="n">
        <x:f>H9-G9</x:f>
        <x:v>-0.00048769611550825154</x:v>
      </x:c>
      <x:c r="J9" s="47"/>
      <x:c r="K9" s="47"/>
      <x:c r="L9" s="47"/>
      <x:c r="M9" s="47"/>
      <x:c r="N9" s="47"/>
      <x:c r="O9" s="47"/>
      <x:c r="P9" s="47"/>
      <x:c r="Q9" s="47"/>
      <x:c r="R9" s="47"/>
    </x:row>
    <x:row r="10">
      <x:c r="A10" s="6" t="str">
        <x:v>Full Cropland AOI</x:v>
      </x:c>
      <x:c r="B10" s="6" t="str">
        <x:v>P80</x:v>
      </x:c>
      <x:c r="C10" s="6" t="str">
        <x:v>2024 November transition</x:v>
      </x:c>
      <x:c r="D10" s="44" t="n">
        <x:v>0</x:v>
      </x:c>
      <x:c r="E10" s="44" t="n">
        <x:v>0</x:v>
      </x:c>
      <x:c r="F10" s="44" t="n">
        <x:f>E10-D10</x:f>
        <x:v>0</x:v>
      </x:c>
      <x:c r="G10" s="44" t="n">
        <x:v>0</x:v>
      </x:c>
      <x:c r="H10" s="44" t="n">
        <x:v>0</x:v>
      </x:c>
      <x:c r="I10" s="44" t="n">
        <x:f>H10-G10</x:f>
        <x:v>0</x:v>
      </x:c>
      <x:c r="J10" s="47"/>
      <x:c r="K10" s="47"/>
      <x:c r="L10" s="47"/>
      <x:c r="M10" s="47"/>
      <x:c r="N10" s="47"/>
      <x:c r="O10" s="47"/>
      <x:c r="P10" s="47"/>
      <x:c r="Q10" s="47"/>
      <x:c r="R10" s="47"/>
    </x:row>
    <x:row r="11">
      <x:c r="A11" s="6" t="str">
        <x:v>Full Cropland AOI</x:v>
      </x:c>
      <x:c r="B11" s="6" t="str">
        <x:v>P80</x:v>
      </x:c>
      <x:c r="C11" s="6" t="str">
        <x:v>2024 Wet core</x:v>
      </x:c>
      <x:c r="D11" s="44" t="n">
        <x:v>39.9070168745482</x:v>
      </x:c>
      <x:c r="E11" s="44" t="n">
        <x:v>39.85438212972454</x:v>
      </x:c>
      <x:c r="F11" s="44" t="n">
        <x:f>E11-D11</x:f>
        <x:v>-0.052634744823656376</x:v>
      </x:c>
      <x:c r="G11" s="44" t="n">
        <x:v>1.3966144550896542</x:v>
      </x:c>
      <x:c r="H11" s="44" t="n">
        <x:v>1.394892870568832</x:v>
      </x:c>
      <x:c r="I11" s="44" t="n">
        <x:f>H11-G11</x:f>
        <x:v>-0.0017215845208222724</x:v>
      </x:c>
      <x:c r="J11" s="47"/>
      <x:c r="K11" s="47"/>
      <x:c r="L11" s="47"/>
      <x:c r="M11" s="47"/>
      <x:c r="N11" s="47"/>
      <x:c r="O11" s="47"/>
      <x:c r="P11" s="47"/>
      <x:c r="Q11" s="47"/>
      <x:c r="R11" s="47"/>
    </x:row>
    <x:row r="12">
      <x:c r="A12" s="6" t="str">
        <x:v>Full Cropland AOI</x:v>
      </x:c>
      <x:c r="B12" s="6" t="str">
        <x:v>P80</x:v>
      </x:c>
      <x:c r="C12" s="6" t="str">
        <x:v>2024–2025 Dry core</x:v>
      </x:c>
      <x:c r="D12" s="44" t="n">
        <x:v>26.361603979429614</x:v>
      </x:c>
      <x:c r="E12" s="44" t="n">
        <x:v>26.317963260225966</x:v>
      </x:c>
      <x:c r="F12" s="44" t="n">
        <x:f>E12-D12</x:f>
        <x:v>-0.04364071920364765</x:v>
      </x:c>
      <x:c r="G12" s="44" t="n">
        <x:v>0.9756365304167525</x:v>
      </x:c>
      <x:c r="H12" s="44" t="n">
        <x:v>0.9742646132605911</x:v>
      </x:c>
      <x:c r="I12" s="44" t="n">
        <x:f>H12-G12</x:f>
        <x:v>-0.001371917156161362</x:v>
      </x:c>
      <x:c r="J12" s="47"/>
      <x:c r="K12" s="47"/>
      <x:c r="L12" s="47"/>
      <x:c r="M12" s="47"/>
      <x:c r="N12" s="47"/>
      <x:c r="O12" s="47"/>
      <x:c r="P12" s="47"/>
      <x:c r="Q12" s="47"/>
      <x:c r="R12" s="47"/>
    </x:row>
    <x:row r="13">
      <x:c r="A13" s="6" t="str">
        <x:v>Full Cropland AOI</x:v>
      </x:c>
      <x:c r="B13" s="6" t="str">
        <x:v>P80</x:v>
      </x:c>
      <x:c r="C13" s="6" t="str">
        <x:v>2025 November transition</x:v>
      </x:c>
      <x:c r="D13" s="44" t="n">
        <x:v>0</x:v>
      </x:c>
      <x:c r="E13" s="44" t="n">
        <x:v>0</x:v>
      </x:c>
      <x:c r="F13" s="44" t="n">
        <x:f>E13-D13</x:f>
        <x:v>0</x:v>
      </x:c>
      <x:c r="G13" s="44" t="n">
        <x:v>0.05382727384108164</x:v>
      </x:c>
      <x:c r="H13" s="44" t="n">
        <x:v>0.05375735678060494</x:v>
      </x:c>
      <x:c r="I13" s="44" t="n">
        <x:f>H13-G13</x:f>
        <x:v>-0.00006991706047669577</x:v>
      </x:c>
      <x:c r="J13" s="47"/>
      <x:c r="K13" s="47"/>
      <x:c r="L13" s="47"/>
      <x:c r="M13" s="47"/>
      <x:c r="N13" s="47"/>
      <x:c r="O13" s="47"/>
      <x:c r="P13" s="47"/>
      <x:c r="Q13" s="47"/>
      <x:c r="R13" s="47"/>
    </x:row>
    <x:row r="14">
      <x:c r="A14" s="6" t="str">
        <x:v>Full Cropland AOI</x:v>
      </x:c>
      <x:c r="B14" s="6" t="str">
        <x:v>P80</x:v>
      </x:c>
      <x:c r="C14" s="6" t="str">
        <x:v>2025 Wet core</x:v>
      </x:c>
      <x:c r="D14" s="44" t="n">
        <x:v>25.113847049208726</x:v>
      </x:c>
      <x:c r="E14" s="44" t="n">
        <x:v>25.073735007939934</x:v>
      </x:c>
      <x:c r="F14" s="44" t="n">
        <x:f>E14-D14</x:f>
        <x:v>-0.04011204126879164</x:v>
      </x:c>
      <x:c r="G14" s="44" t="n">
        <x:v>0.9392268929244016</x:v>
      </x:c>
      <x:c r="H14" s="44" t="n">
        <x:v>0.9380694865617687</x:v>
      </x:c>
      <x:c r="I14" s="44" t="n">
        <x:f>H14-G14</x:f>
        <x:v>-0.0011574063626329512</x:v>
      </x:c>
      <x:c r="J14" s="47"/>
      <x:c r="K14" s="47"/>
      <x:c r="L14" s="47"/>
      <x:c r="M14" s="47"/>
      <x:c r="N14" s="47"/>
      <x:c r="O14" s="47"/>
      <x:c r="P14" s="47"/>
      <x:c r="Q14" s="47"/>
      <x:c r="R14" s="47"/>
    </x:row>
    <x:row r="15">
      <x:c r="A15" s="6" t="str">
        <x:v>Full Cropland AOI</x:v>
      </x:c>
      <x:c r="B15" s="6" t="str">
        <x:v>P90</x:v>
      </x:c>
      <x:c r="C15" s="6" t="str">
        <x:v>2023 November transition</x:v>
      </x:c>
      <x:c r="D15" s="44" t="n">
        <x:v>0</x:v>
      </x:c>
      <x:c r="E15" s="44" t="n">
        <x:v>0</x:v>
      </x:c>
      <x:c r="F15" s="44" t="n">
        <x:f>E15-D15</x:f>
        <x:v>0</x:v>
      </x:c>
      <x:c r="G15" s="44" t="n">
        <x:v>0.025802185433338475</x:v>
      </x:c>
      <x:c r="H15" s="44" t="n">
        <x:v>0.02578987609170525</x:v>
      </x:c>
      <x:c r="I15" s="44" t="n">
        <x:f>H15-G15</x:f>
        <x:v>-0.000012309341633223725</x:v>
      </x:c>
      <x:c r="J15" s="47"/>
      <x:c r="K15" s="47"/>
      <x:c r="L15" s="47"/>
      <x:c r="M15" s="47"/>
      <x:c r="N15" s="47"/>
      <x:c r="O15" s="47"/>
      <x:c r="P15" s="47"/>
      <x:c r="Q15" s="47"/>
      <x:c r="R15" s="47"/>
    </x:row>
    <x:row r="16">
      <x:c r="A16" s="6" t="str">
        <x:v>Full Cropland AOI</x:v>
      </x:c>
      <x:c r="B16" s="6" t="str">
        <x:v>P90</x:v>
      </x:c>
      <x:c r="C16" s="6" t="str">
        <x:v>2023 Wet core</x:v>
      </x:c>
      <x:c r="D16" s="44" t="n">
        <x:v>14.683370497971133</x:v>
      </x:c>
      <x:c r="E16" s="44" t="n">
        <x:v>14.67324401292087</x:v>
      </x:c>
      <x:c r="F16" s="44" t="n">
        <x:f>E16-D16</x:f>
        <x:v>-0.010126485050262701</x:v>
      </x:c>
      <x:c r="G16" s="44" t="n">
        <x:v>0.5838490605551496</x:v>
      </x:c>
      <x:c r="H16" s="44" t="n">
        <x:v>0.5835424758862049</x:v>
      </x:c>
      <x:c r="I16" s="44" t="n">
        <x:f>H16-G16</x:f>
        <x:v>-0.0003065846689447316</x:v>
      </x:c>
      <x:c r="J16" s="47"/>
      <x:c r="K16" s="47"/>
      <x:c r="L16" s="47"/>
      <x:c r="M16" s="47"/>
      <x:c r="N16" s="47"/>
      <x:c r="O16" s="47"/>
      <x:c r="P16" s="47"/>
      <x:c r="Q16" s="47"/>
      <x:c r="R16" s="47"/>
    </x:row>
    <x:row r="17">
      <x:c r="A17" s="6" t="str">
        <x:v>Full Cropland AOI</x:v>
      </x:c>
      <x:c r="B17" s="6" t="str">
        <x:v>P90</x:v>
      </x:c>
      <x:c r="C17" s="6" t="str">
        <x:v>2023–2024 Dry core</x:v>
      </x:c>
      <x:c r="D17" s="44" t="n">
        <x:v>0.8495086972473932</x:v>
      </x:c>
      <x:c r="E17" s="44" t="n">
        <x:v>0.8485731872832684</x:v>
      </x:c>
      <x:c r="F17" s="44" t="n">
        <x:f>E17-D17</x:f>
        <x:v>-0.0009355099641248366</x:v>
      </x:c>
      <x:c r="G17" s="44" t="n">
        <x:v>0.07541022727393956</x:v>
      </x:c>
      <x:c r="H17" s="44" t="n">
        <x:v>0.07535179893232054</x:v>
      </x:c>
      <x:c r="I17" s="44" t="n">
        <x:f>H17-G17</x:f>
        <x:v>-0.000058428341619023993</x:v>
      </x:c>
      <x:c r="J17" s="47"/>
      <x:c r="K17" s="47"/>
      <x:c r="L17" s="47"/>
      <x:c r="M17" s="47"/>
      <x:c r="N17" s="47"/>
      <x:c r="O17" s="47"/>
      <x:c r="P17" s="47"/>
      <x:c r="Q17" s="47"/>
      <x:c r="R17" s="47"/>
    </x:row>
    <x:row r="18">
      <x:c r="A18" s="6" t="str">
        <x:v>Full Cropland AOI</x:v>
      </x:c>
      <x:c r="B18" s="6" t="str">
        <x:v>P90</x:v>
      </x:c>
      <x:c r="C18" s="6" t="str">
        <x:v>2024 November transition</x:v>
      </x:c>
      <x:c r="D18" s="44" t="n">
        <x:v>0</x:v>
      </x:c>
      <x:c r="E18" s="44" t="n">
        <x:v>0</x:v>
      </x:c>
      <x:c r="F18" s="44" t="n">
        <x:f>E18-D18</x:f>
        <x:v>0</x:v>
      </x:c>
      <x:c r="G18" s="44" t="n">
        <x:v>0</x:v>
      </x:c>
      <x:c r="H18" s="44" t="n">
        <x:v>0</x:v>
      </x:c>
      <x:c r="I18" s="44" t="n">
        <x:f>H18-G18</x:f>
        <x:v>0</x:v>
      </x:c>
      <x:c r="J18" s="47"/>
      <x:c r="K18" s="47"/>
      <x:c r="L18" s="47"/>
      <x:c r="M18" s="47"/>
      <x:c r="N18" s="47"/>
      <x:c r="O18" s="47"/>
      <x:c r="P18" s="47"/>
      <x:c r="Q18" s="47"/>
      <x:c r="R18" s="47"/>
    </x:row>
    <x:row r="19">
      <x:c r="A19" s="6" t="str">
        <x:v>Full Cropland AOI</x:v>
      </x:c>
      <x:c r="B19" s="6" t="str">
        <x:v>P90</x:v>
      </x:c>
      <x:c r="C19" s="6" t="str">
        <x:v>2024 Wet core</x:v>
      </x:c>
      <x:c r="D19" s="44" t="n">
        <x:v>12.131479852849207</x:v>
      </x:c>
      <x:c r="E19" s="44" t="n">
        <x:v>12.123002819577794</x:v>
      </x:c>
      <x:c r="F19" s="44" t="n">
        <x:f>E19-D19</x:f>
        <x:v>-0.008477033271413248</x:v>
      </x:c>
      <x:c r="G19" s="44" t="n">
        <x:v>0.5277368446578319</x:v>
      </x:c>
      <x:c r="H19" s="44" t="n">
        <x:v>0.5274565199177047</x:v>
      </x:c>
      <x:c r="I19" s="44" t="n">
        <x:f>H19-G19</x:f>
        <x:v>-0.00028032474012718023</x:v>
      </x:c>
      <x:c r="J19" s="47"/>
      <x:c r="K19" s="47"/>
      <x:c r="L19" s="47"/>
      <x:c r="M19" s="47"/>
      <x:c r="N19" s="47"/>
      <x:c r="O19" s="47"/>
      <x:c r="P19" s="47"/>
      <x:c r="Q19" s="47"/>
      <x:c r="R19" s="47"/>
    </x:row>
    <x:row r="20">
      <x:c r="A20" s="6" t="str">
        <x:v>Full Cropland AOI</x:v>
      </x:c>
      <x:c r="B20" s="6" t="str">
        <x:v>P90</x:v>
      </x:c>
      <x:c r="C20" s="6" t="str">
        <x:v>2024–2025 Dry core</x:v>
      </x:c>
      <x:c r="D20" s="44" t="n">
        <x:v>6.547798363464824</x:v>
      </x:c>
      <x:c r="E20" s="44" t="n">
        <x:v>6.5425792026123375</x:v>
      </x:c>
      <x:c r="F20" s="44" t="n">
        <x:f>E20-D20</x:f>
        <x:v>-0.005219160852486304</x:v>
      </x:c>
      <x:c r="G20" s="44" t="n">
        <x:v>0.31879036592144</x:v>
      </x:c>
      <x:c r="H20" s="44" t="n">
        <x:v>0.31859866844107193</x:v>
      </x:c>
      <x:c r="I20" s="44" t="n">
        <x:f>H20-G20</x:f>
        <x:v>-0.00019169748036806933</x:v>
      </x:c>
      <x:c r="J20" s="47"/>
      <x:c r="K20" s="47"/>
      <x:c r="L20" s="47"/>
      <x:c r="M20" s="47"/>
      <x:c r="N20" s="47"/>
      <x:c r="O20" s="47"/>
      <x:c r="P20" s="47"/>
      <x:c r="Q20" s="47"/>
      <x:c r="R20" s="47"/>
    </x:row>
    <x:row r="21">
      <x:c r="A21" s="6" t="str">
        <x:v>Full Cropland AOI</x:v>
      </x:c>
      <x:c r="B21" s="6" t="str">
        <x:v>P90</x:v>
      </x:c>
      <x:c r="C21" s="6" t="str">
        <x:v>2025 November transition</x:v>
      </x:c>
      <x:c r="D21" s="44" t="n">
        <x:v>0</x:v>
      </x:c>
      <x:c r="E21" s="44" t="n">
        <x:v>0</x:v>
      </x:c>
      <x:c r="F21" s="44" t="n">
        <x:f>E21-D21</x:f>
        <x:v>0</x:v>
      </x:c>
      <x:c r="G21" s="44" t="n">
        <x:v>0.01905034742296137</x:v>
      </x:c>
      <x:c r="H21" s="44" t="n">
        <x:v>0.019040582011932348</x:v>
      </x:c>
      <x:c r="I21" s="44" t="n">
        <x:f>H21-G21</x:f>
        <x:v>-0.000009765411029021703</x:v>
      </x:c>
      <x:c r="J21" s="47"/>
      <x:c r="K21" s="47"/>
      <x:c r="L21" s="47"/>
      <x:c r="M21" s="47"/>
      <x:c r="N21" s="47"/>
      <x:c r="O21" s="47"/>
      <x:c r="P21" s="47"/>
      <x:c r="Q21" s="47"/>
      <x:c r="R21" s="47"/>
    </x:row>
    <x:row r="22">
      <x:c r="A22" s="6" t="str">
        <x:v>Full Cropland AOI</x:v>
      </x:c>
      <x:c r="B22" s="6" t="str">
        <x:v>P90</x:v>
      </x:c>
      <x:c r="C22" s="6" t="str">
        <x:v>2025 Wet core</x:v>
      </x:c>
      <x:c r="D22" s="44" t="n">
        <x:v>6.675708835489506</x:v>
      </x:c>
      <x:c r="E22" s="44" t="n">
        <x:v>6.670785098836218</x:v>
      </x:c>
      <x:c r="F22" s="44" t="n">
        <x:f>E22-D22</x:f>
        <x:v>-0.00492373665328838</x:v>
      </x:c>
      <x:c r="G22" s="44" t="n">
        <x:v>0.3686065997601976</x:v>
      </x:c>
      <x:c r="H22" s="44" t="n">
        <x:v>0.3684240111926382</x:v>
      </x:c>
      <x:c r="I22" s="44" t="n">
        <x:f>H22-G22</x:f>
        <x:v>-0.00018258856755942743</x:v>
      </x:c>
      <x:c r="J22" s="47"/>
      <x:c r="K22" s="47"/>
      <x:c r="L22" s="47"/>
      <x:c r="M22" s="47"/>
      <x:c r="N22" s="47"/>
      <x:c r="O22" s="47"/>
      <x:c r="P22" s="47"/>
      <x:c r="Q22" s="47"/>
      <x:c r="R22" s="47"/>
    </x:row>
    <x:row r="23">
      <x:c r="A23" s="6" t="str">
        <x:v>MARIIS</x:v>
      </x:c>
      <x:c r="B23" s="6" t="str">
        <x:v>P80</x:v>
      </x:c>
      <x:c r="C23" s="6" t="str">
        <x:v>MARIIS · 2023 Wet</x:v>
      </x:c>
      <x:c r="D23" s="44" t="n">
        <x:v>53.69554220919075</x:v>
      </x:c>
      <x:c r="E23" s="44" t="n">
        <x:v>53.64374733304832</x:v>
      </x:c>
      <x:c r="F23" s="44" t="n">
        <x:f>E23-D23</x:f>
        <x:v>-0.051794876142430724</x:v>
      </x:c>
      <x:c r="G23" s="44" t="n">
        <x:v>1.7925056084202402</x:v>
      </x:c>
      <x:c r="H23" s="44" t="n">
        <x:v>1.7906166900611566</x:v>
      </x:c>
      <x:c r="I23" s="44" t="n">
        <x:f>H23-G23</x:f>
        <x:v>-0.0018889183590835579</x:v>
      </x:c>
      <x:c r="J23" s="47"/>
      <x:c r="K23" s="47"/>
      <x:c r="L23" s="47"/>
      <x:c r="M23" s="47"/>
      <x:c r="N23" s="47"/>
      <x:c r="O23" s="47"/>
      <x:c r="P23" s="47"/>
      <x:c r="Q23" s="47"/>
      <x:c r="R23" s="47"/>
    </x:row>
    <x:row r="24">
      <x:c r="A24" s="6" t="str">
        <x:v>MARIIS</x:v>
      </x:c>
      <x:c r="B24" s="6" t="str">
        <x:v>P80</x:v>
      </x:c>
      <x:c r="C24" s="6" t="str">
        <x:v>MARIIS · 2023–2024 Dry</x:v>
      </x:c>
      <x:c r="D24" s="44" t="n">
        <x:v>31.690269062876073</x:v>
      </x:c>
      <x:c r="E24" s="44" t="n">
        <x:v>31.648284128201</x:v>
      </x:c>
      <x:c r="F24" s="44" t="n">
        <x:f>E24-D24</x:f>
        <x:v>-0.04198493467507447</x:v>
      </x:c>
      <x:c r="G24" s="44" t="n">
        <x:v>1.1442505467124786</x:v>
      </x:c>
      <x:c r="H24" s="44" t="n">
        <x:v>1.143027735490067</x:v>
      </x:c>
      <x:c r="I24" s="44" t="n">
        <x:f>H24-G24</x:f>
        <x:v>-0.001222811222411524</x:v>
      </x:c>
      <x:c r="J24" s="47"/>
      <x:c r="K24" s="47"/>
      <x:c r="L24" s="47"/>
      <x:c r="M24" s="47"/>
      <x:c r="N24" s="47"/>
      <x:c r="O24" s="47"/>
      <x:c r="P24" s="47"/>
      <x:c r="Q24" s="47"/>
      <x:c r="R24" s="47"/>
    </x:row>
    <x:row r="25">
      <x:c r="A25" s="6" t="str">
        <x:v>MARIIS</x:v>
      </x:c>
      <x:c r="B25" s="6" t="str">
        <x:v>P80</x:v>
      </x:c>
      <x:c r="C25" s="6" t="str">
        <x:v>MARIIS · 2024 Wet</x:v>
      </x:c>
      <x:c r="D25" s="44" t="n">
        <x:v>43.087321801202144</x:v>
      </x:c>
      <x:c r="E25" s="44" t="n">
        <x:v>43.03310471729</x:v>
      </x:c>
      <x:c r="F25" s="44" t="n">
        <x:f>E25-D25</x:f>
        <x:v>-0.05421708391214253</x:v>
      </x:c>
      <x:c r="G25" s="44" t="n">
        <x:v>1.4994459199726775</x:v>
      </x:c>
      <x:c r="H25" s="44" t="n">
        <x:v>1.4977249413522944</x:v>
      </x:c>
      <x:c r="I25" s="44" t="n">
        <x:f>H25-G25</x:f>
        <x:v>-0.0017209786203831179</x:v>
      </x:c>
      <x:c r="J25" s="47"/>
      <x:c r="K25" s="47"/>
      <x:c r="L25" s="47"/>
      <x:c r="M25" s="47"/>
      <x:c r="N25" s="47"/>
      <x:c r="O25" s="47"/>
      <x:c r="P25" s="47"/>
      <x:c r="Q25" s="47"/>
      <x:c r="R25" s="47"/>
    </x:row>
    <x:row r="26">
      <x:c r="A26" s="6" t="str">
        <x:v>MARIIS</x:v>
      </x:c>
      <x:c r="B26" s="6" t="str">
        <x:v>P80</x:v>
      </x:c>
      <x:c r="C26" s="6" t="str">
        <x:v>MARIIS · 2024–2025 Dry</x:v>
      </x:c>
      <x:c r="D26" s="44" t="n">
        <x:v>44.06355227265662</x:v>
      </x:c>
      <x:c r="E26" s="44" t="n">
        <x:v>44.0117573965142</x:v>
      </x:c>
      <x:c r="F26" s="44" t="n">
        <x:f>E26-D26</x:f>
        <x:v>-0.05179487614242362</x:v>
      </x:c>
      <x:c r="G26" s="44" t="n">
        <x:v>1.4916221888764953</x:v>
      </x:c>
      <x:c r="H26" s="44" t="n">
        <x:v>1.4900198984368282</x:v>
      </x:c>
      <x:c r="I26" s="44" t="n">
        <x:f>H26-G26</x:f>
        <x:v>-0.0016022904396670867</x:v>
      </x:c>
      <x:c r="J26" s="47"/>
      <x:c r="K26" s="47"/>
      <x:c r="L26" s="47"/>
      <x:c r="M26" s="47"/>
      <x:c r="N26" s="47"/>
      <x:c r="O26" s="47"/>
      <x:c r="P26" s="47"/>
      <x:c r="Q26" s="47"/>
      <x:c r="R26" s="47"/>
    </x:row>
    <x:row r="27">
      <x:c r="A27" s="6" t="str">
        <x:v>MARIIS</x:v>
      </x:c>
      <x:c r="B27" s="6" t="str">
        <x:v>P80</x:v>
      </x:c>
      <x:c r="C27" s="6" t="str">
        <x:v>MARIIS · 2025 Wet</x:v>
      </x:c>
      <x:c r="D27" s="44" t="n">
        <x:v>26.58667729208475</x:v>
      </x:c>
      <x:c r="E27" s="44" t="n">
        <x:v>26.545903461294532</x:v>
      </x:c>
      <x:c r="F27" s="44" t="n">
        <x:f>E27-D27</x:f>
        <x:v>-0.04077383079021857</x:v>
      </x:c>
      <x:c r="G27" s="44" t="n">
        <x:v>0.9804862905058741</x:v>
      </x:c>
      <x:c r="H27" s="44" t="n">
        <x:v>0.9793712675292149</x:v>
      </x:c>
      <x:c r="I27" s="44" t="n">
        <x:f>H27-G27</x:f>
        <x:v>-0.001115022976659219</x:v>
      </x:c>
      <x:c r="J27" s="47"/>
      <x:c r="K27" s="47"/>
      <x:c r="L27" s="47"/>
      <x:c r="M27" s="47"/>
      <x:c r="N27" s="47"/>
      <x:c r="O27" s="47"/>
      <x:c r="P27" s="47"/>
      <x:c r="Q27" s="47"/>
      <x:c r="R27" s="47"/>
    </x:row>
    <x:row r="28">
      <x:c r="A28" s="6" t="str">
        <x:v>MARIIS</x:v>
      </x:c>
      <x:c r="B28" s="6" t="str">
        <x:v>P90</x:v>
      </x:c>
      <x:c r="C28" s="6" t="str">
        <x:v>MARIIS · 2023 Wet</x:v>
      </x:c>
      <x:c r="D28" s="44" t="n">
        <x:v>20.991821415465555</x:v>
      </x:c>
      <x:c r="E28" s="44" t="n">
        <x:v>20.979548896098994</x:v>
      </x:c>
      <x:c r="F28" s="44" t="n">
        <x:f>E28-D28</x:f>
        <x:v>-0.012272519366561596</x:v>
      </x:c>
      <x:c r="G28" s="44" t="n">
        <x:v>0.7754213733191392</x:v>
      </x:c>
      <x:c r="H28" s="44" t="n">
        <x:v>0.7750620791666314</x:v>
      </x:c>
      <x:c r="I28" s="44" t="n">
        <x:f>H28-G28</x:f>
        <x:v>-0.0003592941525077942</x:v>
      </x:c>
      <x:c r="J28" s="47"/>
      <x:c r="K28" s="47"/>
      <x:c r="L28" s="47"/>
      <x:c r="M28" s="47"/>
      <x:c r="N28" s="47"/>
      <x:c r="O28" s="47"/>
      <x:c r="P28" s="47"/>
      <x:c r="Q28" s="47"/>
      <x:c r="R28" s="47"/>
    </x:row>
    <x:row r="29">
      <x:c r="A29" s="6" t="str">
        <x:v>MARIIS</x:v>
      </x:c>
      <x:c r="B29" s="6" t="str">
        <x:v>P90</x:v>
      </x:c>
      <x:c r="C29" s="6" t="str">
        <x:v>MARIIS · 2023–2024 Dry</x:v>
      </x:c>
      <x:c r="D29" s="44" t="n">
        <x:v>10.12777549686546</x:v>
      </x:c>
      <x:c r="E29" s="44" t="n">
        <x:v>10.121962198218144</x:v>
      </x:c>
      <x:c r="F29" s="44" t="n">
        <x:f>E29-D29</x:f>
        <x:v>-0.0058132986473165005</x:v>
      </x:c>
      <x:c r="G29" s="44" t="n">
        <x:v>0.4846203936168366</x:v>
      </x:c>
      <x:c r="H29" s="44" t="n">
        <x:v>0.48440966154087134</x:v>
      </x:c>
      <x:c r="I29" s="44" t="n">
        <x:f>H29-G29</x:f>
        <x:v>-0.00021073207596528087</x:v>
      </x:c>
      <x:c r="J29" s="47"/>
      <x:c r="K29" s="47"/>
      <x:c r="L29" s="47"/>
      <x:c r="M29" s="47"/>
      <x:c r="N29" s="47"/>
      <x:c r="O29" s="47"/>
      <x:c r="P29" s="47"/>
      <x:c r="Q29" s="47"/>
      <x:c r="R29" s="47"/>
    </x:row>
    <x:row r="30">
      <x:c r="A30" s="6" t="str">
        <x:v>MARIIS</x:v>
      </x:c>
      <x:c r="B30" s="6" t="str">
        <x:v>P90</x:v>
      </x:c>
      <x:c r="C30" s="6" t="str">
        <x:v>MARIIS · 2024 Wet</x:v>
      </x:c>
      <x:c r="D30" s="44" t="n">
        <x:v>13.632629399385324</x:v>
      </x:c>
      <x:c r="E30" s="44" t="n">
        <x:v>13.623505750119394</x:v>
      </x:c>
      <x:c r="F30" s="44" t="n">
        <x:f>E30-D30</x:f>
        <x:v>-0.009123649265930567</x:v>
      </x:c>
      <x:c r="G30" s="44" t="n">
        <x:v>0.5980027282133513</x:v>
      </x:c>
      <x:c r="H30" s="44" t="n">
        <x:v>0.5977165039952299</x:v>
      </x:c>
      <x:c r="I30" s="44" t="n">
        <x:f>H30-G30</x:f>
        <x:v>-0.0002862242181214114</x:v>
      </x:c>
      <x:c r="J30" s="47"/>
      <x:c r="K30" s="47"/>
      <x:c r="L30" s="47"/>
      <x:c r="M30" s="47"/>
      <x:c r="N30" s="47"/>
      <x:c r="O30" s="47"/>
      <x:c r="P30" s="47"/>
      <x:c r="Q30" s="47"/>
      <x:c r="R30" s="47"/>
    </x:row>
    <x:row r="31">
      <x:c r="A31" s="6" t="str">
        <x:v>MARIIS</x:v>
      </x:c>
      <x:c r="B31" s="6" t="str">
        <x:v>P90</x:v>
      </x:c>
      <x:c r="C31" s="6" t="str">
        <x:v>MARIIS · 2024–2025 Dry</x:v>
      </x:c>
      <x:c r="D31" s="44" t="n">
        <x:v>14.478545092829094</x:v>
      </x:c>
      <x:c r="E31" s="44" t="n">
        <x:v>14.468815891620736</x:v>
      </x:c>
      <x:c r="F31" s="44" t="n">
        <x:f>E31-D31</x:f>
        <x:v>-0.009729201208358518</x:v>
      </x:c>
      <x:c r="G31" s="44" t="n">
        <x:v>0.6269573961912398</x:v>
      </x:c>
      <x:c r="H31" s="44" t="n">
        <x:v>0.6266647127523991</x:v>
      </x:c>
      <x:c r="I31" s="44" t="n">
        <x:f>H31-G31</x:f>
        <x:v>-0.0002926834388407018</x:v>
      </x:c>
      <x:c r="J31" s="47"/>
      <x:c r="K31" s="47"/>
      <x:c r="L31" s="47"/>
      <x:c r="M31" s="47"/>
      <x:c r="N31" s="47"/>
      <x:c r="O31" s="47"/>
      <x:c r="P31" s="47"/>
      <x:c r="Q31" s="47"/>
      <x:c r="R31" s="47"/>
    </x:row>
    <x:row r="32">
      <x:c r="A32" s="6" t="str">
        <x:v>MARIIS</x:v>
      </x:c>
      <x:c r="B32" s="6" t="str">
        <x:v>P90</x:v>
      </x:c>
      <x:c r="C32" s="6" t="str">
        <x:v>MARIIS · 2025 Wet</x:v>
      </x:c>
      <x:c r="D32" s="44" t="n">
        <x:v>7.0938795250373525</x:v>
      </x:c>
      <x:c r="E32" s="44" t="n">
        <x:v>7.088308447167006</x:v>
      </x:c>
      <x:c r="F32" s="44" t="n">
        <x:f>E32-D32</x:f>
        <x:v>-0.005571077870346386</x:v>
      </x:c>
      <x:c r="G32" s="44" t="n">
        <x:v>0.40418614020788196</x:v>
      </x:c>
      <x:c r="H32" s="44" t="n">
        <x:v>0.40397984884616117</x:v>
      </x:c>
      <x:c r="I32" s="44" t="n">
        <x:f>H32-G32</x:f>
        <x:v>-0.00020629136172078955</x:v>
      </x:c>
      <x:c r="J32" s="47"/>
      <x:c r="K32" s="47"/>
      <x:c r="L32" s="47"/>
      <x:c r="M32" s="47"/>
      <x:c r="N32" s="47"/>
      <x:c r="O32" s="47"/>
      <x:c r="P32" s="47"/>
      <x:c r="Q32" s="47"/>
      <x:c r="R32" s="47"/>
    </x:row>
    <x:row r="33">
      <x:c r="A33" s="6" t="str">
        <x:v>MRIS</x:v>
      </x:c>
      <x:c r="B33" s="6" t="str">
        <x:v>P80</x:v>
      </x:c>
      <x:c r="C33" s="6" t="str">
        <x:v>MRIS · 2023 Dry</x:v>
      </x:c>
      <x:c r="D33" s="44" t="n">
        <x:v>36.79526015383125</x:v>
      </x:c>
      <x:c r="E33" s="44" t="n">
        <x:v>36.74315925175089</x:v>
      </x:c>
      <x:c r="F33" s="44" t="n">
        <x:f>E33-D33</x:f>
        <x:v>-0.05210090208036178</x:v>
      </x:c>
      <x:c r="G33" s="44" t="n">
        <x:v>1.2668935505094867</x:v>
      </x:c>
      <x:c r="H33" s="44" t="n">
        <x:v>1.2652871060286754</x:v>
      </x:c>
      <x:c r="I33" s="44" t="n">
        <x:f>H33-G33</x:f>
        <x:v>-0.0016064444808112643</x:v>
      </x:c>
      <x:c r="J33" s="47"/>
      <x:c r="K33" s="47"/>
      <x:c r="L33" s="47"/>
      <x:c r="M33" s="47"/>
      <x:c r="N33" s="47"/>
      <x:c r="O33" s="47"/>
      <x:c r="P33" s="47"/>
      <x:c r="Q33" s="47"/>
      <x:c r="R33" s="47"/>
    </x:row>
    <x:row r="34">
      <x:c r="A34" s="6" t="str">
        <x:v>MRIS</x:v>
      </x:c>
      <x:c r="B34" s="6" t="str">
        <x:v>P80</x:v>
      </x:c>
      <x:c r="C34" s="6" t="str">
        <x:v>MRIS · 2023–2024 Wet</x:v>
      </x:c>
      <x:c r="D34" s="44" t="n">
        <x:v>26.477611641211812</x:v>
      </x:c>
      <x:c r="E34" s="44" t="n">
        <x:v>26.428516560405317</x:v>
      </x:c>
      <x:c r="F34" s="44" t="n">
        <x:f>E34-D34</x:f>
        <x:v>-0.04909508080649516</x:v>
      </x:c>
      <x:c r="G34" s="44" t="n">
        <x:v>1.0052100902080363</x:v>
      </x:c>
      <x:c r="H34" s="44" t="n">
        <x:v>1.0037839950036571</x:v>
      </x:c>
      <x:c r="I34" s="44" t="n">
        <x:f>H34-G34</x:f>
        <x:v>-0.0014260952043791963</x:v>
      </x:c>
      <x:c r="J34" s="47"/>
      <x:c r="K34" s="47"/>
      <x:c r="L34" s="47"/>
      <x:c r="M34" s="47"/>
      <x:c r="N34" s="47"/>
      <x:c r="O34" s="47"/>
      <x:c r="P34" s="47"/>
      <x:c r="Q34" s="47"/>
      <x:c r="R34" s="47"/>
    </x:row>
    <x:row r="35">
      <x:c r="A35" s="6" t="str">
        <x:v>MRIS</x:v>
      </x:c>
      <x:c r="B35" s="6" t="str">
        <x:v>P80</x:v>
      </x:c>
      <x:c r="C35" s="6" t="str">
        <x:v>MRIS · 2024 Dry</x:v>
      </x:c>
      <x:c r="D35" s="44" t="n">
        <x:v>11.79985238077744</x:v>
      </x:c>
      <x:c r="E35" s="44" t="n">
        <x:v>11.778143671577288</x:v>
      </x:c>
      <x:c r="F35" s="44" t="n">
        <x:f>E35-D35</x:f>
        <x:v>-0.021708709200151333</x:v>
      </x:c>
      <x:c r="G35" s="44" t="n">
        <x:v>0.5809016795861318</x:v>
      </x:c>
      <x:c r="H35" s="44" t="n">
        <x:v>0.5801602436719112</x:v>
      </x:c>
      <x:c r="I35" s="44" t="n">
        <x:f>H35-G35</x:f>
        <x:v>-0.0007414359142206006</x:v>
      </x:c>
      <x:c r="J35" s="47"/>
      <x:c r="K35" s="47"/>
      <x:c r="L35" s="47"/>
      <x:c r="M35" s="47"/>
      <x:c r="N35" s="47"/>
      <x:c r="O35" s="47"/>
      <x:c r="P35" s="47"/>
      <x:c r="Q35" s="47"/>
      <x:c r="R35" s="47"/>
    </x:row>
    <x:row r="36">
      <x:c r="A36" s="6" t="str">
        <x:v>MRIS</x:v>
      </x:c>
      <x:c r="B36" s="6" t="str">
        <x:v>P80</x:v>
      </x:c>
      <x:c r="C36" s="6" t="str">
        <x:v>MRIS · 2024–2025 Wet</x:v>
      </x:c>
      <x:c r="D36" s="44" t="n">
        <x:v>34.704878447927484</x:v>
      </x:c>
      <x:c r="E36" s="44" t="n">
        <x:v>34.66580277136721</x:v>
      </x:c>
      <x:c r="F36" s="44" t="n">
        <x:f>E36-D36</x:f>
        <x:v>-0.03907567656027311</x:v>
      </x:c>
      <x:c r="G36" s="44" t="n">
        <x:v>1.211947137623197</x:v>
      </x:c>
      <x:c r="H36" s="44" t="n">
        <x:v>1.2107548285178964</x:v>
      </x:c>
      <x:c r="I36" s="44" t="n">
        <x:f>H36-G36</x:f>
        <x:v>-0.0011923091053005486</x:v>
      </x:c>
      <x:c r="J36" s="47"/>
      <x:c r="K36" s="47"/>
      <x:c r="L36" s="47"/>
      <x:c r="M36" s="47"/>
      <x:c r="N36" s="47"/>
      <x:c r="O36" s="47"/>
      <x:c r="P36" s="47"/>
      <x:c r="Q36" s="47"/>
      <x:c r="R36" s="47"/>
    </x:row>
    <x:row r="37">
      <x:c r="A37" s="6" t="str">
        <x:v>MRIS</x:v>
      </x:c>
      <x:c r="B37" s="6" t="str">
        <x:v>P80</x:v>
      </x:c>
      <x:c r="C37" s="6" t="str">
        <x:v>MRIS · 2025 Dry</x:v>
      </x:c>
      <x:c r="D37" s="44" t="n">
        <x:v>42.35335766935298</x:v>
      </x:c>
      <x:c r="E37" s="44" t="n">
        <x:v>42.30693442967881</x:v>
      </x:c>
      <x:c r="F37" s="44" t="n">
        <x:f>E37-D37</x:f>
        <x:v>-0.04642323967416928</x:v>
      </x:c>
      <x:c r="G37" s="44" t="n">
        <x:v>1.4572789301948106</x:v>
      </x:c>
      <x:c r="H37" s="44" t="n">
        <x:v>1.4557726797564616</x:v>
      </x:c>
      <x:c r="I37" s="44" t="n">
        <x:f>H37-G37</x:f>
        <x:v>-0.001506250438348955</x:v>
      </x:c>
      <x:c r="J37" s="47"/>
      <x:c r="K37" s="47"/>
      <x:c r="L37" s="47"/>
      <x:c r="M37" s="47"/>
      <x:c r="N37" s="47"/>
      <x:c r="O37" s="47"/>
      <x:c r="P37" s="47"/>
      <x:c r="Q37" s="47"/>
      <x:c r="R37" s="47"/>
    </x:row>
    <x:row r="38">
      <x:c r="A38" s="6" t="str">
        <x:v>MRIS</x:v>
      </x:c>
      <x:c r="B38" s="6" t="str">
        <x:v>P80</x:v>
      </x:c>
      <x:c r="C38" s="6" t="str">
        <x:v>MRIS · 2025–2026 Wet</x:v>
      </x:c>
      <x:c r="D38" s="44" t="n">
        <x:v>21.077486732638878</x:v>
      </x:c>
      <x:c r="E38" s="44" t="n">
        <x:v>21.042084837635553</x:v>
      </x:c>
      <x:c r="F38" s="44" t="n">
        <x:f>E38-D38</x:f>
        <x:v>-0.035401895003325023</x:v>
      </x:c>
      <x:c r="G38" s="44" t="n">
        <x:v>0.8432597797734946</x:v>
      </x:c>
      <x:c r="H38" s="44" t="n">
        <x:v>0.8422645189517032</x:v>
      </x:c>
      <x:c r="I38" s="44" t="n">
        <x:f>H38-G38</x:f>
        <x:v>-0.000995260821791466</x:v>
      </x:c>
      <x:c r="J38" s="47"/>
      <x:c r="K38" s="47"/>
      <x:c r="L38" s="47"/>
      <x:c r="M38" s="47"/>
      <x:c r="N38" s="47"/>
      <x:c r="O38" s="47"/>
      <x:c r="P38" s="47"/>
      <x:c r="Q38" s="47"/>
      <x:c r="R38" s="47"/>
    </x:row>
    <x:row r="39">
      <x:c r="A39" s="6" t="str">
        <x:v>MRIS</x:v>
      </x:c>
      <x:c r="B39" s="6" t="str">
        <x:v>P90</x:v>
      </x:c>
      <x:c r="C39" s="6" t="str">
        <x:v>MRIS · 2023 Dry</x:v>
      </x:c>
      <x:c r="D39" s="44" t="n">
        <x:v>10.992956358814904</x:v>
      </x:c>
      <x:c r="E39" s="44" t="n">
        <x:v>10.986944716267171</x:v>
      </x:c>
      <x:c r="F39" s="44" t="n">
        <x:f>E39-D39</x:f>
        <x:v>-0.006011642547733231</x:v>
      </x:c>
      <x:c r="G39" s="44" t="n">
        <x:v>0.46265267067220184</x:v>
      </x:c>
      <x:c r="H39" s="44" t="n">
        <x:v>0.46239884576463086</x:v>
      </x:c>
      <x:c r="I39" s="44" t="n">
        <x:f>H39-G39</x:f>
        <x:v>-0.0002538249075709764</x:v>
      </x:c>
      <x:c r="J39" s="47"/>
      <x:c r="K39" s="47"/>
      <x:c r="L39" s="47"/>
      <x:c r="M39" s="47"/>
      <x:c r="N39" s="47"/>
      <x:c r="O39" s="47"/>
      <x:c r="P39" s="47"/>
      <x:c r="Q39" s="47"/>
      <x:c r="R39" s="47"/>
    </x:row>
    <x:row r="40">
      <x:c r="A40" s="6" t="str">
        <x:v>MRIS</x:v>
      </x:c>
      <x:c r="B40" s="6" t="str">
        <x:v>P90</x:v>
      </x:c>
      <x:c r="C40" s="6" t="str">
        <x:v>MRIS · 2023–2024 Wet</x:v>
      </x:c>
      <x:c r="D40" s="44" t="n">
        <x:v>7.13982746585888</x:v>
      </x:c>
      <x:c r="E40" s="44" t="n">
        <x:v>7.132145922603442</x:v>
      </x:c>
      <x:c r="F40" s="44" t="n">
        <x:f>E40-D40</x:f>
        <x:v>-0.007681543255437795</x:v>
      </x:c>
      <x:c r="G40" s="44" t="n">
        <x:v>0.3715128298471373</x:v>
      </x:c>
      <x:c r="H40" s="44" t="n">
        <x:v>0.3712556651381509</x:v>
      </x:c>
      <x:c r="I40" s="44" t="n">
        <x:f>H40-G40</x:f>
        <x:v>-0.00025716470898640154</x:v>
      </x:c>
      <x:c r="J40" s="47"/>
      <x:c r="K40" s="47"/>
      <x:c r="L40" s="47"/>
      <x:c r="M40" s="47"/>
      <x:c r="N40" s="47"/>
      <x:c r="O40" s="47"/>
      <x:c r="P40" s="47"/>
      <x:c r="Q40" s="47"/>
      <x:c r="R40" s="47"/>
    </x:row>
    <x:row r="41">
      <x:c r="A41" s="6" t="str">
        <x:v>MRIS</x:v>
      </x:c>
      <x:c r="B41" s="6" t="str">
        <x:v>P90</x:v>
      </x:c>
      <x:c r="C41" s="6" t="str">
        <x:v>MRIS · 2024 Dry</x:v>
      </x:c>
      <x:c r="D41" s="44" t="n">
        <x:v>2.2162922192646426</x:v>
      </x:c>
      <x:c r="E41" s="44" t="n">
        <x:v>2.2146223185569385</x:v>
      </x:c>
      <x:c r="F41" s="44" t="n">
        <x:f>E41-D41</x:f>
        <x:v>-0.0016699007077041195</x:v>
      </x:c>
      <x:c r="G41" s="44" t="n">
        <x:v>0.19863468918138127</x:v>
      </x:c>
      <x:c r="H41" s="44" t="n">
        <x:v>0.1985645533516577</x:v>
      </x:c>
      <x:c r="I41" s="44" t="n">
        <x:f>H41-G41</x:f>
        <x:v>-0.00007013582972356658</x:v>
      </x:c>
      <x:c r="J41" s="47"/>
      <x:c r="K41" s="47"/>
      <x:c r="L41" s="47"/>
      <x:c r="M41" s="47"/>
      <x:c r="N41" s="47"/>
      <x:c r="O41" s="47"/>
      <x:c r="P41" s="47"/>
      <x:c r="Q41" s="47"/>
      <x:c r="R41" s="47"/>
    </x:row>
    <x:row r="42">
      <x:c r="A42" s="6" t="str">
        <x:v>MRIS</x:v>
      </x:c>
      <x:c r="B42" s="6" t="str">
        <x:v>P90</x:v>
      </x:c>
      <x:c r="C42" s="6" t="str">
        <x:v>MRIS · 2024–2025 Wet</x:v>
      </x:c>
      <x:c r="D42" s="44" t="n">
        <x:v>11.426796562676383</x:v>
      </x:c>
      <x:c r="E42" s="44" t="n">
        <x:v>11.420116959845567</x:v>
      </x:c>
      <x:c r="F42" s="44" t="n">
        <x:f>E42-D42</x:f>
        <x:v>-0.006679602830816478</x:v>
      </x:c>
      <x:c r="G42" s="44" t="n">
        <x:v>0.49755025566179834</x:v>
      </x:c>
      <x:c r="H42" s="44" t="n">
        <x:v>0.4973198093641352</x:v>
      </x:c>
      <x:c r="I42" s="44" t="n">
        <x:f>H42-G42</x:f>
        <x:v>-0.00023044629766311164</x:v>
      </x:c>
      <x:c r="J42" s="47"/>
      <x:c r="K42" s="47"/>
      <x:c r="L42" s="47"/>
      <x:c r="M42" s="47"/>
      <x:c r="N42" s="47"/>
      <x:c r="O42" s="47"/>
      <x:c r="P42" s="47"/>
      <x:c r="Q42" s="47"/>
      <x:c r="R42" s="47"/>
    </x:row>
    <x:row r="43">
      <x:c r="A43" s="6" t="str">
        <x:v>MRIS</x:v>
      </x:c>
      <x:c r="B43" s="6" t="str">
        <x:v>P90</x:v>
      </x:c>
      <x:c r="C43" s="6" t="str">
        <x:v>MRIS · 2025 Dry</x:v>
      </x:c>
      <x:c r="D43" s="44" t="n">
        <x:v>14.842077490072441</x:v>
      </x:c>
      <x:c r="E43" s="44" t="n">
        <x:v>14.832058085826217</x:v>
      </x:c>
      <x:c r="F43" s="44" t="n">
        <x:f>E43-D43</x:f>
        <x:v>-0.010019404246223829</x:v>
      </x:c>
      <x:c r="G43" s="44" t="n">
        <x:v>0.5962681058984233</x:v>
      </x:c>
      <x:c r="H43" s="44" t="n">
        <x:v>0.595954164565375</x:v>
      </x:c>
      <x:c r="I43" s="44" t="n">
        <x:f>H43-G43</x:f>
        <x:v>-0.0003139413330482954</x:v>
      </x:c>
      <x:c r="J43" s="47"/>
      <x:c r="K43" s="47"/>
      <x:c r="L43" s="47"/>
      <x:c r="M43" s="47"/>
      <x:c r="N43" s="47"/>
      <x:c r="O43" s="47"/>
      <x:c r="P43" s="47"/>
      <x:c r="Q43" s="47"/>
      <x:c r="R43" s="47"/>
    </x:row>
    <x:row r="44">
      <x:c r="A44" s="6" t="str">
        <x:v>MRIS</x:v>
      </x:c>
      <x:c r="B44" s="6" t="str">
        <x:v>P90</x:v>
      </x:c>
      <x:c r="C44" s="6" t="str">
        <x:v>MRIS · 2025–2026 Wet</x:v>
      </x:c>
      <x:c r="D44" s="44" t="n">
        <x:v>5.760823461436983</x:v>
      </x:c>
      <x:c r="E44" s="44" t="n">
        <x:v>5.75514579903079</x:v>
      </x:c>
      <x:c r="F44" s="44" t="n">
        <x:f>E44-D44</x:f>
        <x:v>-0.0056776624061933845</x:v>
      </x:c>
      <x:c r="G44" s="44" t="n">
        <x:v>0.3174882021515001</x:v>
      </x:c>
      <x:c r="H44" s="44" t="n">
        <x:v>0.3172811344637448</x:v>
      </x:c>
      <x:c r="I44" s="44" t="n">
        <x:f>H44-G44</x:f>
        <x:v>-0.00020706768775530238</x:v>
      </x:c>
      <x:c r="J44" s="47"/>
      <x:c r="K44" s="47"/>
      <x:c r="L44" s="47"/>
      <x:c r="M44" s="47"/>
      <x:c r="N44" s="47"/>
      <x:c r="O44" s="47"/>
      <x:c r="P44" s="47"/>
      <x:c r="Q44" s="47"/>
      <x:c r="R44" s="47"/>
    </x:row>
    <x:row r="45">
      <x:c r="A45" s="6" t="str">
        <x:v>UCRIS</x:v>
      </x:c>
      <x:c r="B45" s="6" t="str">
        <x:v>P80</x:v>
      </x:c>
      <x:c r="C45" s="6" t="str">
        <x:v>UCRIS · 2023–2024 Dry</x:v>
      </x:c>
      <x:c r="D45" s="44" t="n">
        <x:v>16.05391034386344</x:v>
      </x:c>
      <x:c r="E45" s="44" t="n">
        <x:v>16.02450382525779</x:v>
      </x:c>
      <x:c r="F45" s="44" t="n">
        <x:f>E45-D45</x:f>
        <x:v>-0.02940651860565069</x:v>
      </x:c>
      <x:c r="G45" s="44" t="n">
        <x:v>0.6732345242169911</x:v>
      </x:c>
      <x:c r="H45" s="44" t="n">
        <x:v>0.6724017412515607</x:v>
      </x:c>
      <x:c r="I45" s="44" t="n">
        <x:f>H45-G45</x:f>
        <x:v>-0.0008327829654304342</x:v>
      </x:c>
      <x:c r="J45" s="47"/>
      <x:c r="K45" s="47"/>
      <x:c r="L45" s="47"/>
      <x:c r="M45" s="47"/>
      <x:c r="N45" s="47"/>
      <x:c r="O45" s="47"/>
      <x:c r="P45" s="47"/>
      <x:c r="Q45" s="47"/>
      <x:c r="R45" s="47"/>
    </x:row>
    <x:row r="46">
      <x:c r="A46" s="6" t="str">
        <x:v>UCRIS</x:v>
      </x:c>
      <x:c r="B46" s="6" t="str">
        <x:v>P80</x:v>
      </x:c>
      <x:c r="C46" s="6" t="str">
        <x:v>UCRIS · 2023–2024 Wet</x:v>
      </x:c>
      <x:c r="D46" s="44" t="n">
        <x:v>47.341120436566285</x:v>
      </x:c>
      <x:c r="E46" s="44" t="n">
        <x:v>47.28905643641202</x:v>
      </x:c>
      <x:c r="F46" s="44" t="n">
        <x:f>E46-D46</x:f>
        <x:v>-0.052064000154267376</x:v>
      </x:c>
      <x:c r="G46" s="44" t="n">
        <x:v>1.6506204293351716</x:v>
      </x:c>
      <x:c r="H46" s="44" t="n">
        <x:v>1.6487596234037323</x:v>
      </x:c>
      <x:c r="I46" s="44" t="n">
        <x:f>H46-G46</x:f>
        <x:v>-0.0018608059314393355</x:v>
      </x:c>
      <x:c r="J46" s="47"/>
      <x:c r="K46" s="47"/>
      <x:c r="L46" s="47"/>
      <x:c r="M46" s="47"/>
      <x:c r="N46" s="47"/>
      <x:c r="O46" s="47"/>
      <x:c r="P46" s="47"/>
      <x:c r="Q46" s="47"/>
      <x:c r="R46" s="47"/>
    </x:row>
    <x:row r="47">
      <x:c r="A47" s="6" t="str">
        <x:v>UCRIS</x:v>
      </x:c>
      <x:c r="B47" s="6" t="str">
        <x:v>P80</x:v>
      </x:c>
      <x:c r="C47" s="6" t="str">
        <x:v>UCRIS · 2024–2025 Dry</x:v>
      </x:c>
      <x:c r="D47" s="44" t="n">
        <x:v>47.35642628846349</x:v>
      </x:c>
      <x:c r="E47" s="44" t="n">
        <x:v>47.30351865867709</x:v>
      </x:c>
      <x:c r="F47" s="44" t="n">
        <x:f>E47-D47</x:f>
        <x:v>-0.052907629786396626</x:v>
      </x:c>
      <x:c r="G47" s="44" t="n">
        <x:v>1.6677991390157012</x:v>
      </x:c>
      <x:c r="H47" s="44" t="n">
        <x:v>1.665996181973322</x:v>
      </x:c>
      <x:c r="I47" s="44" t="n">
        <x:f>H47-G47</x:f>
        <x:v>-0.0018029570423792052</x:v>
      </x:c>
      <x:c r="J47" s="47"/>
      <x:c r="K47" s="47"/>
      <x:c r="L47" s="47"/>
      <x:c r="M47" s="47"/>
      <x:c r="N47" s="47"/>
      <x:c r="O47" s="47"/>
      <x:c r="P47" s="47"/>
      <x:c r="Q47" s="47"/>
      <x:c r="R47" s="47"/>
    </x:row>
    <x:row r="48">
      <x:c r="A48" s="6" t="str">
        <x:v>UCRIS</x:v>
      </x:c>
      <x:c r="B48" s="6" t="str">
        <x:v>P80</x:v>
      </x:c>
      <x:c r="C48" s="6" t="str">
        <x:v>UCRIS · 2024–2025 Wet</x:v>
      </x:c>
      <x:c r="D48" s="44" t="n">
        <x:v>44.470851391024745</x:v>
      </x:c>
      <x:c r="E48" s="44" t="n">
        <x:v>44.41938998346486</x:v>
      </x:c>
      <x:c r="F48" s="44" t="n">
        <x:f>E48-D48</x:f>
        <x:v>-0.051461407559884265</x:v>
      </x:c>
      <x:c r="G48" s="44" t="n">
        <x:v>1.5475698645853921</x:v>
      </x:c>
      <x:c r="H48" s="44" t="n">
        <x:v>1.5458982727285875</x:v>
      </x:c>
      <x:c r="I48" s="44" t="n">
        <x:f>H48-G48</x:f>
        <x:v>-0.001671591856804655</x:v>
      </x:c>
      <x:c r="J48" s="47"/>
      <x:c r="K48" s="47"/>
      <x:c r="L48" s="47"/>
      <x:c r="M48" s="47"/>
      <x:c r="N48" s="47"/>
      <x:c r="O48" s="47"/>
      <x:c r="P48" s="47"/>
      <x:c r="Q48" s="47"/>
      <x:c r="R48" s="47"/>
    </x:row>
    <x:row r="49">
      <x:c r="A49" s="6" t="str">
        <x:v>UCRIS</x:v>
      </x:c>
      <x:c r="B49" s="6" t="str">
        <x:v>P80</x:v>
      </x:c>
      <x:c r="C49" s="6" t="str">
        <x:v>UCRIS · 2025–2026 Wet</x:v>
      </x:c>
      <x:c r="D49" s="44" t="n">
        <x:v>20.894536654502332</x:v>
      </x:c>
      <x:c r="E49" s="44" t="n">
        <x:v>20.860429913660532</x:v>
      </x:c>
      <x:c r="F49" s="44" t="n">
        <x:f>E49-D49</x:f>
        <x:v>-0.034106740841799876</x:v>
      </x:c>
      <x:c r="G49" s="44" t="n">
        <x:v>0.8115512179601517</x:v>
      </x:c>
      <x:c r="H49" s="44" t="n">
        <x:v>0.8104786031421588</x:v>
      </x:c>
      <x:c r="I49" s="44" t="n">
        <x:f>H49-G49</x:f>
        <x:v>-0.001072614817992923</x:v>
      </x:c>
      <x:c r="J49" s="47"/>
      <x:c r="K49" s="47"/>
      <x:c r="L49" s="47"/>
      <x:c r="M49" s="47"/>
      <x:c r="N49" s="47"/>
      <x:c r="O49" s="47"/>
      <x:c r="P49" s="47"/>
      <x:c r="Q49" s="47"/>
      <x:c r="R49" s="47"/>
    </x:row>
    <x:row r="50">
      <x:c r="A50" s="6" t="str">
        <x:v>UCRIS</x:v>
      </x:c>
      <x:c r="B50" s="6" t="str">
        <x:v>P90</x:v>
      </x:c>
      <x:c r="C50" s="6" t="str">
        <x:v>UCRIS · 2023–2024 Dry</x:v>
      </x:c>
      <x:c r="D50" s="44" t="n">
        <x:v>3.668704233092457</x:v>
      </x:c>
      <x:c r="E50" s="44" t="n">
        <x:v>3.665088677526189</x:v>
      </x:c>
      <x:c r="F50" s="44" t="n">
        <x:f>E50-D50</x:f>
        <x:v>-0.003615555566268025</x:v>
      </x:c>
      <x:c r="G50" s="44" t="n">
        <x:v>0.2368128636646307</x:v>
      </x:c>
      <x:c r="H50" s="44" t="n">
        <x:v>0.236673062182735</x:v>
      </x:c>
      <x:c r="I50" s="44" t="n">
        <x:f>H50-G50</x:f>
        <x:v>-0.00013980148189568498</x:v>
      </x:c>
      <x:c r="J50" s="47"/>
      <x:c r="K50" s="47"/>
      <x:c r="L50" s="47"/>
      <x:c r="M50" s="47"/>
      <x:c r="N50" s="47"/>
      <x:c r="O50" s="47"/>
      <x:c r="P50" s="47"/>
      <x:c r="Q50" s="47"/>
      <x:c r="R50" s="47"/>
    </x:row>
    <x:row r="51">
      <x:c r="A51" s="6" t="str">
        <x:v>UCRIS</x:v>
      </x:c>
      <x:c r="B51" s="6" t="str">
        <x:v>P90</x:v>
      </x:c>
      <x:c r="C51" s="6" t="str">
        <x:v>UCRIS · 2023–2024 Wet</x:v>
      </x:c>
      <x:c r="D51" s="44" t="n">
        <x:v>18.26482257263651</x:v>
      </x:c>
      <x:c r="E51" s="44" t="n">
        <x:v>18.2530117577867</x:v>
      </x:c>
      <x:c r="F51" s="44" t="n">
        <x:f>E51-D51</x:f>
        <x:v>-0.011810814849809503</x:v>
      </x:c>
      <x:c r="G51" s="44" t="n">
        <x:v>0.6865518205527461</x:v>
      </x:c>
      <x:c r="H51" s="44" t="n">
        <x:v>0.6861950857368744</x:v>
      </x:c>
      <x:c r="I51" s="44" t="n">
        <x:f>H51-G51</x:f>
        <x:v>-0.00035673481587172873</x:v>
      </x:c>
      <x:c r="J51" s="47"/>
      <x:c r="K51" s="47"/>
      <x:c r="L51" s="47"/>
      <x:c r="M51" s="47"/>
      <x:c r="N51" s="47"/>
      <x:c r="O51" s="47"/>
      <x:c r="P51" s="47"/>
      <x:c r="Q51" s="47"/>
      <x:c r="R51" s="47"/>
    </x:row>
    <x:row r="52">
      <x:c r="A52" s="6" t="str">
        <x:v>UCRIS</x:v>
      </x:c>
      <x:c r="B52" s="6" t="str">
        <x:v>P90</x:v>
      </x:c>
      <x:c r="C52" s="6" t="str">
        <x:v>UCRIS · 2024–2025 Dry</x:v>
      </x:c>
      <x:c r="D52" s="44" t="n">
        <x:v>17.527972348231028</x:v>
      </x:c>
      <x:c r="E52" s="44" t="n">
        <x:v>17.517969311164354</x:v>
      </x:c>
      <x:c r="F52" s="44" t="n">
        <x:f>E52-D52</x:f>
        <x:v>-0.01000303706667438</x:v>
      </x:c>
      <x:c r="G52" s="44" t="n">
        <x:v>0.6870001494429634</x:v>
      </x:c>
      <x:c r="H52" s="44" t="n">
        <x:v>0.6866699287012442</x:v>
      </x:c>
      <x:c r="I52" s="44" t="n">
        <x:f>H52-G52</x:f>
        <x:v>-0.00033022074171917826</x:v>
      </x:c>
      <x:c r="J52" s="47"/>
      <x:c r="K52" s="47"/>
      <x:c r="L52" s="47"/>
      <x:c r="M52" s="47"/>
      <x:c r="N52" s="47"/>
      <x:c r="O52" s="47"/>
      <x:c r="P52" s="47"/>
      <x:c r="Q52" s="47"/>
      <x:c r="R52" s="47"/>
    </x:row>
    <x:row r="53">
      <x:c r="A53" s="6" t="str">
        <x:v>UCRIS</x:v>
      </x:c>
      <x:c r="B53" s="6" t="str">
        <x:v>P90</x:v>
      </x:c>
      <x:c r="C53" s="6" t="str">
        <x:v>UCRIS · 2024–2025 Wet</x:v>
      </x:c>
      <x:c r="D53" s="44" t="n">
        <x:v>16.928151679787117</x:v>
      </x:c>
      <x:c r="E53" s="44" t="n">
        <x:v>16.91923330939032</x:v>
      </x:c>
      <x:c r="F53" s="44" t="n">
        <x:f>E53-D53</x:f>
        <x:v>-0.008918370396795439</x:v>
      </x:c>
      <x:c r="G53" s="44" t="n">
        <x:v>0.6484956878473946</x:v>
      </x:c>
      <x:c r="H53" s="44" t="n">
        <x:v>0.6481980071057719</x:v>
      </x:c>
      <x:c r="I53" s="44" t="n">
        <x:f>H53-G53</x:f>
        <x:v>-0.00029768074162273006</x:v>
      </x:c>
      <x:c r="J53" s="47"/>
      <x:c r="K53" s="47"/>
      <x:c r="L53" s="47"/>
      <x:c r="M53" s="47"/>
      <x:c r="N53" s="47"/>
      <x:c r="O53" s="47"/>
      <x:c r="P53" s="47"/>
      <x:c r="Q53" s="47"/>
      <x:c r="R53" s="47"/>
    </x:row>
    <x:row r="54">
      <x:c r="A54" s="6" t="str">
        <x:v>UCRIS</x:v>
      </x:c>
      <x:c r="B54" s="6" t="str">
        <x:v>P90</x:v>
      </x:c>
      <x:c r="C54" s="6" t="str">
        <x:v>UCRIS · 2025–2026 Wet</x:v>
      </x:c>
      <x:c r="D54" s="44" t="n">
        <x:v>4.7959139401360416</x:v>
      </x:c>
      <x:c r="E54" s="44" t="n">
        <x:v>4.792298384569773</x:v>
      </x:c>
      <x:c r="F54" s="44" t="n">
        <x:f>E54-D54</x:f>
        <x:v>-0.003615555566268469</x:v>
      </x:c>
      <x:c r="G54" s="44" t="n">
        <x:v>0.27104373858087033</x:v>
      </x:c>
      <x:c r="H54" s="44" t="n">
        <x:v>0.2708906800618983</x:v>
      </x:c>
      <x:c r="I54" s="44" t="n">
        <x:f>H54-G54</x:f>
        <x:v>-0.00015305851897201572</x:v>
      </x:c>
      <x:c r="J54" s="47"/>
      <x:c r="K54" s="47"/>
      <x:c r="L54" s="47"/>
      <x:c r="M54" s="47"/>
      <x:c r="N54" s="47"/>
      <x:c r="O54" s="47"/>
      <x:c r="P54" s="47"/>
      <x:c r="Q54" s="47"/>
      <x:c r="R54" s="47"/>
    </x:row>
  </x:sheetData>
  <x:conditionalFormatting sqref="F7:F54">
    <x:cfRule type="colorScale" priority="1">
      <x:colorScale>
        <x:cfvo type="min"/>
        <x:cfvo type="num" val="0"/>
        <x:cfvo type="max"/>
        <x:color rgb="FFD9EAF2"/>
        <x:color rgb="FFFFFFFF"/>
        <x:color rgb="FFF2D7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07d8965f6e4ad1"/>
  </x:tableParts>
</x:worksheet>
</file>

<file path=xl/worksheets/sheet5.xml><?xml version="1.0" encoding="utf-8"?>
<x:worksheet xmlns:x="http://schemas.openxmlformats.org/spreadsheetml/2006/main">
  <x:sheetPr>
    <x:tabColor rgb="FFA8894F"/>
  </x:sheetPr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2">
      <x:c r="A2" s="48" t="str">
        <x:v>Definitions and comparability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</x:row>
    <x:row r="4">
      <x:c r="A4" s="51" t="str">
        <x:v>How to read the spatial statistics and their denominators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</x:row>
    <x:row r="6">
      <x:c r="A6" s="6" t="str">
        <x:v>Term</x:v>
      </x:c>
      <x:c r="B6" s="6" t="str">
        <x:v>Definition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</x:row>
    <x:row r="7">
      <x:c r="A7" s="6" t="str">
        <x:v>Production relative index</x:v>
      </x:c>
      <x:c r="B7" s="46" t="str">
        <x:v>Linear index using pooled fixed-support Cropland raw min/max; clipped to 0–1.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</x:row>
    <x:row r="8">
      <x:c r="A8" s="6" t="str">
        <x:v>Rice-reference relative index</x:v>
      </x:c>
      <x:c r="B8" s="46" t="str">
        <x:v>Same linear formula and Cropland application domain, using pooled historical potential-rice raw min/max.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</x:row>
    <x:row r="9">
      <x:c r="A9" s="6" t="str">
        <x:v>Experimental Lovell WI</x:v>
      </x:c>
      <x:c r="B9" s="46" t="str">
        <x:v>Published nonlinear Lovell equation using QC historical-rice P1/P99; unstable and out-of-range observations are excluded.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</x:row>
    <x:row r="10">
      <x:c r="A10" s="6" t="str">
        <x:v>P80 / P90</x:v>
      </x:c>
      <x:c r="B10" s="46" t="str">
        <x:v>Method-specific empirical quantiles of absolute adjacent change. P90 retains the largest 10%; P80 retains the largest 20%.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</x:row>
    <x:row r="11">
      <x:c r="A11" s="6" t="str">
        <x:v>Direction reversal</x:v>
      </x:c>
      <x:c r="B11" s="46" t="str">
        <x:v>A significant adjacent change with direction opposite to the previous significant change within one uninterrupted window.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</x:row>
    <x:row r="12">
      <x:c r="A12" s="6" t="str">
        <x:v>2+ reversals (%)</x:v>
      </x:c>
      <x:c r="B12" s="46" t="str">
        <x:v>Share of the relevant eligible spatial pixels with two or more mathematical direction reversals.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</x:row>
    <x:row r="13">
      <x:c r="A13" s="6" t="str">
        <x:v>Domain area</x:v>
      </x:c>
      <x:c r="B13" s="46" t="str">
        <x:v>Full spatial mask before WI numerical eligibility. Production and rice-reference use the entire fixed-support Cropland domain.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</x:row>
    <x:row r="14">
      <x:c r="A14" s="6" t="str">
        <x:v>Eligible area</x:v>
      </x:c>
      <x:c r="B14" s="46" t="str">
        <x:v>Pixels with enough valid observations for the specified method and window. WI eligibility can vary by window.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</x:row>
    <x:row r="15">
      <x:c r="A15" s="6" t="str">
        <x:v>Insufficient (%)</x:v>
      </x:c>
      <x:c r="B15" s="46" t="str">
        <x:v>WI pixels lacking eligible temporal support, expressed as a share of the full domain. Undefined reversal percentages are left blank.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</x:row>
    <x:row r="16">
      <x:c r="A16" s="6" t="str">
        <x:v>Interpretation</x:v>
      </x:c>
      <x:c r="B16" s="46" t="str">
        <x:v>Repeated reversals are potential AWD-like SAR patterns. They are not measured water levels, exact AWD cycles or confirmed adoption.</x:v>
      </x:c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</x:row>
    <x:row r="18">
      <x:c r="A18" s="53" t="str">
        <x:v>Source output identifiers</x:v>
      </x:c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</x:row>
    <x:row r="19">
      <x:c r="A19" s="6" t="str">
        <x:v>Source branch</x:v>
      </x:c>
      <x:c r="B19" s="6" t="str">
        <x:v>Output identifier</x:v>
      </x:c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</x:row>
    <x:row r="20">
      <x:c r="A20" s="6" t="str">
        <x:v>production_system</x:v>
      </x:c>
      <x:c r="B20" s="6" t="str">
        <x:v>26o-system_season_reversals_ab28d084ea89</x:v>
      </x:c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</x:row>
    <x:row r="21">
      <x:c r="A21" s="6" t="str">
        <x:v>production_region</x:v>
      </x:c>
      <x:c r="B21" s="6" t="str">
        <x:v>28o-regional_season_reversals_6e40c2b942fc</x:v>
      </x:c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</x:row>
    <x:row r="22">
      <x:c r="A22" s="6" t="str">
        <x:v>wi</x:v>
      </x:c>
      <x:c r="B22" s="6" t="str">
        <x:v>35o-wi_baseline_89aacc7bbd1b</x:v>
      </x:c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</x:row>
    <x:row r="23">
      <x:c r="A23" s="6" t="str">
        <x:v>rice_raw</x:v>
      </x:c>
      <x:c r="B23" s="6" t="str">
        <x:v>36o-rice_raw_relative_3443311cfd01</x:v>
      </x:c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</x:row>
  </x:sheetData>
  <x:pageMargins left="0.7" right="0.7" top="0.75" bottom="0.75" header="0.3" footer="0.3"/>
  <x:tableParts count="2">
    <x:tablePart xmlns:r="http://schemas.openxmlformats.org/officeDocument/2006/relationships" r:id="R22d339676ac6488e"/>
    <x:tablePart xmlns:r="http://schemas.openxmlformats.org/officeDocument/2006/relationships" r:id="Re301d0a8201542ed"/>
  </x:tableParts>
</x:worksheet>
</file>